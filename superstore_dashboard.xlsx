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PivotTables" sheetId="3" state="visible" r:id="rId5"/>
  </sheets>
  <definedNames>
    <definedName function="false" hidden="false" localSheetId="0" name="_xlnm.Print_Area" vbProcedure="false">Dashboard!$A$1:$L$65</definedName>
    <definedName function="false" hidden="false" localSheetId="2" name="_xlnm.Print_Area" vbProcedure="false">PivotTables!$A$1:$E$65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<sst xmlns="http://schemas.openxmlformats.org/spreadsheetml/2006/main" count="3607" uniqueCount="599">
  <si>
    <t xml:space="preserve">SkillCraft Technology — Sales Performance Dashboard (India)</t>
  </si>
  <si>
    <t xml:space="preserve">All figures in Indian Rupees (₹) | Data period: Jan 2024 – Dec 2025</t>
  </si>
  <si>
    <t xml:space="preserve">Total Sales</t>
  </si>
  <si>
    <t xml:space="preserve">Total Profit</t>
  </si>
  <si>
    <t xml:space="preserve">Total Orders</t>
  </si>
  <si>
    <t xml:space="preserve">Overall Profit Margin</t>
  </si>
  <si>
    <t xml:space="preserve">Category, Region &amp; Trend Analysis</t>
  </si>
  <si>
    <t xml:space="preserve">Sub-Category Performance — High / Low Performers (Conditional Formatting)</t>
  </si>
  <si>
    <t xml:space="preserve">Sub-Category</t>
  </si>
  <si>
    <t xml:space="preserve">Category</t>
  </si>
  <si>
    <t xml:space="preserve">Total Sales (INR)</t>
  </si>
  <si>
    <t xml:space="preserve">Total Profit (INR)</t>
  </si>
  <si>
    <t xml:space="preserve">Profit Margin %</t>
  </si>
  <si>
    <t xml:space="preserve">Order ID</t>
  </si>
  <si>
    <t xml:space="preserve">Order Date</t>
  </si>
  <si>
    <t xml:space="preserve">Ship Date</t>
  </si>
  <si>
    <t xml:space="preserve">Ship Mode</t>
  </si>
  <si>
    <t xml:space="preserve">Segment</t>
  </si>
  <si>
    <t xml:space="preserve">Region</t>
  </si>
  <si>
    <t xml:space="preserve">City</t>
  </si>
  <si>
    <t xml:space="preserve">Quantity</t>
  </si>
  <si>
    <t xml:space="preserve">Discount</t>
  </si>
  <si>
    <t xml:space="preserve">Sales (INR)</t>
  </si>
  <si>
    <t xml:space="preserve">Profit (INR)</t>
  </si>
  <si>
    <t xml:space="preserve">IN-2025-1001</t>
  </si>
  <si>
    <t xml:space="preserve">Standard Class</t>
  </si>
  <si>
    <t xml:space="preserve">Consumer</t>
  </si>
  <si>
    <t xml:space="preserve">South</t>
  </si>
  <si>
    <t xml:space="preserve">Chennai</t>
  </si>
  <si>
    <t xml:space="preserve">Furniture</t>
  </si>
  <si>
    <t xml:space="preserve">Bookcases</t>
  </si>
  <si>
    <t xml:space="preserve">IN-2024-1002</t>
  </si>
  <si>
    <t xml:space="preserve">Same Day</t>
  </si>
  <si>
    <t xml:space="preserve">Kochi</t>
  </si>
  <si>
    <t xml:space="preserve">Technology</t>
  </si>
  <si>
    <t xml:space="preserve">Phones</t>
  </si>
  <si>
    <t xml:space="preserve">IN-2025-1003</t>
  </si>
  <si>
    <t xml:space="preserve">West</t>
  </si>
  <si>
    <t xml:space="preserve">Mumbai</t>
  </si>
  <si>
    <t xml:space="preserve">Tables</t>
  </si>
  <si>
    <t xml:space="preserve">IN-2024-1004</t>
  </si>
  <si>
    <t xml:space="preserve">Second Class</t>
  </si>
  <si>
    <t xml:space="preserve">Home Office</t>
  </si>
  <si>
    <t xml:space="preserve">Ahmedabad</t>
  </si>
  <si>
    <t xml:space="preserve">Office Supplies</t>
  </si>
  <si>
    <t xml:space="preserve">Binders</t>
  </si>
  <si>
    <t xml:space="preserve">IN-2025-1005</t>
  </si>
  <si>
    <t xml:space="preserve">First Class</t>
  </si>
  <si>
    <t xml:space="preserve">Corporate</t>
  </si>
  <si>
    <t xml:space="preserve">Pune</t>
  </si>
  <si>
    <t xml:space="preserve">Art</t>
  </si>
  <si>
    <t xml:space="preserve">IN-2024-1006</t>
  </si>
  <si>
    <t xml:space="preserve">Machines</t>
  </si>
  <si>
    <t xml:space="preserve">IN-2025-1007</t>
  </si>
  <si>
    <t xml:space="preserve">IN-2024-1008</t>
  </si>
  <si>
    <t xml:space="preserve">East</t>
  </si>
  <si>
    <t xml:space="preserve">Guwahati</t>
  </si>
  <si>
    <t xml:space="preserve">Accessories</t>
  </si>
  <si>
    <t xml:space="preserve">IN-2025-1009</t>
  </si>
  <si>
    <t xml:space="preserve">North</t>
  </si>
  <si>
    <t xml:space="preserve">Jaipur</t>
  </si>
  <si>
    <t xml:space="preserve">Copiers</t>
  </si>
  <si>
    <t xml:space="preserve">IN-2024-1010</t>
  </si>
  <si>
    <t xml:space="preserve">Envelopes</t>
  </si>
  <si>
    <t xml:space="preserve">IN-2025-1011</t>
  </si>
  <si>
    <t xml:space="preserve">IN-2024-1012</t>
  </si>
  <si>
    <t xml:space="preserve">Chandigarh</t>
  </si>
  <si>
    <t xml:space="preserve">Paper</t>
  </si>
  <si>
    <t xml:space="preserve">IN-2025-1013</t>
  </si>
  <si>
    <t xml:space="preserve">Bhubaneswar</t>
  </si>
  <si>
    <t xml:space="preserve">IN-2024-1014</t>
  </si>
  <si>
    <t xml:space="preserve">Lucknow</t>
  </si>
  <si>
    <t xml:space="preserve">IN-2025-1015</t>
  </si>
  <si>
    <t xml:space="preserve">Hyderabad</t>
  </si>
  <si>
    <t xml:space="preserve">IN-2024-1016</t>
  </si>
  <si>
    <t xml:space="preserve">Delhi</t>
  </si>
  <si>
    <t xml:space="preserve">IN-2025-1017</t>
  </si>
  <si>
    <t xml:space="preserve">IN-2024-1018</t>
  </si>
  <si>
    <t xml:space="preserve">Chairs</t>
  </si>
  <si>
    <t xml:space="preserve">IN-2025-1019</t>
  </si>
  <si>
    <t xml:space="preserve">Storage</t>
  </si>
  <si>
    <t xml:space="preserve">IN-2024-1020</t>
  </si>
  <si>
    <t xml:space="preserve">Bengaluru</t>
  </si>
  <si>
    <t xml:space="preserve">IN-2025-1021</t>
  </si>
  <si>
    <t xml:space="preserve">IN-2024-1022</t>
  </si>
  <si>
    <t xml:space="preserve">IN-2025-1023</t>
  </si>
  <si>
    <t xml:space="preserve">Patna</t>
  </si>
  <si>
    <t xml:space="preserve">IN-2024-1024</t>
  </si>
  <si>
    <t xml:space="preserve">IN-2025-1025</t>
  </si>
  <si>
    <t xml:space="preserve">IN-2024-1026</t>
  </si>
  <si>
    <t xml:space="preserve">IN-2025-1027</t>
  </si>
  <si>
    <t xml:space="preserve">Surat</t>
  </si>
  <si>
    <t xml:space="preserve">IN-2024-1028</t>
  </si>
  <si>
    <t xml:space="preserve">IN-2025-1029</t>
  </si>
  <si>
    <t xml:space="preserve">IN-2024-1030</t>
  </si>
  <si>
    <t xml:space="preserve">IN-2025-1031</t>
  </si>
  <si>
    <t xml:space="preserve">Kolkata</t>
  </si>
  <si>
    <t xml:space="preserve">IN-2024-1032</t>
  </si>
  <si>
    <t xml:space="preserve">Labels</t>
  </si>
  <si>
    <t xml:space="preserve">IN-2025-1033</t>
  </si>
  <si>
    <t xml:space="preserve">IN-2024-1034</t>
  </si>
  <si>
    <t xml:space="preserve">IN-2025-1035</t>
  </si>
  <si>
    <t xml:space="preserve">IN-2024-1036</t>
  </si>
  <si>
    <t xml:space="preserve">IN-2025-1037</t>
  </si>
  <si>
    <t xml:space="preserve">IN-2024-1038</t>
  </si>
  <si>
    <t xml:space="preserve">IN-2025-1039</t>
  </si>
  <si>
    <t xml:space="preserve">IN-2024-1040</t>
  </si>
  <si>
    <t xml:space="preserve">Furnishings</t>
  </si>
  <si>
    <t xml:space="preserve">IN-2025-1041</t>
  </si>
  <si>
    <t xml:space="preserve">IN-2024-1042</t>
  </si>
  <si>
    <t xml:space="preserve">IN-2025-1043</t>
  </si>
  <si>
    <t xml:space="preserve">IN-2024-1044</t>
  </si>
  <si>
    <t xml:space="preserve">IN-2025-1045</t>
  </si>
  <si>
    <t xml:space="preserve">IN-2024-1046</t>
  </si>
  <si>
    <t xml:space="preserve">IN-2025-1047</t>
  </si>
  <si>
    <t xml:space="preserve">IN-2024-1048</t>
  </si>
  <si>
    <t xml:space="preserve">IN-2025-1049</t>
  </si>
  <si>
    <t xml:space="preserve">IN-2024-1050</t>
  </si>
  <si>
    <t xml:space="preserve">IN-2025-1051</t>
  </si>
  <si>
    <t xml:space="preserve">IN-2024-1052</t>
  </si>
  <si>
    <t xml:space="preserve">IN-2025-1053</t>
  </si>
  <si>
    <t xml:space="preserve">IN-2024-1054</t>
  </si>
  <si>
    <t xml:space="preserve">IN-2025-1055</t>
  </si>
  <si>
    <t xml:space="preserve">IN-2024-1056</t>
  </si>
  <si>
    <t xml:space="preserve">IN-2025-1057</t>
  </si>
  <si>
    <t xml:space="preserve">IN-2024-1058</t>
  </si>
  <si>
    <t xml:space="preserve">IN-2025-1059</t>
  </si>
  <si>
    <t xml:space="preserve">IN-2024-1060</t>
  </si>
  <si>
    <t xml:space="preserve">IN-2025-1061</t>
  </si>
  <si>
    <t xml:space="preserve">IN-2024-1062</t>
  </si>
  <si>
    <t xml:space="preserve">IN-2025-1063</t>
  </si>
  <si>
    <t xml:space="preserve">IN-2024-1064</t>
  </si>
  <si>
    <t xml:space="preserve">IN-2025-1065</t>
  </si>
  <si>
    <t xml:space="preserve">IN-2024-1066</t>
  </si>
  <si>
    <t xml:space="preserve">IN-2025-1067</t>
  </si>
  <si>
    <t xml:space="preserve">IN-2024-1068</t>
  </si>
  <si>
    <t xml:space="preserve">IN-2025-1069</t>
  </si>
  <si>
    <t xml:space="preserve">IN-2024-1070</t>
  </si>
  <si>
    <t xml:space="preserve">IN-2025-1071</t>
  </si>
  <si>
    <t xml:space="preserve">IN-2024-1072</t>
  </si>
  <si>
    <t xml:space="preserve">IN-2025-1073</t>
  </si>
  <si>
    <t xml:space="preserve">IN-2024-1074</t>
  </si>
  <si>
    <t xml:space="preserve">IN-2025-1075</t>
  </si>
  <si>
    <t xml:space="preserve">IN-2024-1076</t>
  </si>
  <si>
    <t xml:space="preserve">IN-2025-1077</t>
  </si>
  <si>
    <t xml:space="preserve">IN-2024-1078</t>
  </si>
  <si>
    <t xml:space="preserve">IN-2025-1079</t>
  </si>
  <si>
    <t xml:space="preserve">IN-2024-1080</t>
  </si>
  <si>
    <t xml:space="preserve">IN-2025-1081</t>
  </si>
  <si>
    <t xml:space="preserve">IN-2024-1082</t>
  </si>
  <si>
    <t xml:space="preserve">IN-2025-1083</t>
  </si>
  <si>
    <t xml:space="preserve">IN-2024-1084</t>
  </si>
  <si>
    <t xml:space="preserve">IN-2025-1085</t>
  </si>
  <si>
    <t xml:space="preserve">IN-2024-1086</t>
  </si>
  <si>
    <t xml:space="preserve">IN-2025-1087</t>
  </si>
  <si>
    <t xml:space="preserve">IN-2024-1088</t>
  </si>
  <si>
    <t xml:space="preserve">IN-2025-1089</t>
  </si>
  <si>
    <t xml:space="preserve">IN-2024-1090</t>
  </si>
  <si>
    <t xml:space="preserve">IN-2025-1091</t>
  </si>
  <si>
    <t xml:space="preserve">IN-2024-1092</t>
  </si>
  <si>
    <t xml:space="preserve">IN-2025-1093</t>
  </si>
  <si>
    <t xml:space="preserve">IN-2024-1094</t>
  </si>
  <si>
    <t xml:space="preserve">IN-2025-1095</t>
  </si>
  <si>
    <t xml:space="preserve">IN-2024-1096</t>
  </si>
  <si>
    <t xml:space="preserve">IN-2025-1097</t>
  </si>
  <si>
    <t xml:space="preserve">IN-2024-1098</t>
  </si>
  <si>
    <t xml:space="preserve">IN-2025-1099</t>
  </si>
  <si>
    <t xml:space="preserve">IN-2024-1100</t>
  </si>
  <si>
    <t xml:space="preserve">IN-2025-1101</t>
  </si>
  <si>
    <t xml:space="preserve">IN-2024-1102</t>
  </si>
  <si>
    <t xml:space="preserve">IN-2025-1103</t>
  </si>
  <si>
    <t xml:space="preserve">IN-2024-1104</t>
  </si>
  <si>
    <t xml:space="preserve">IN-2025-1105</t>
  </si>
  <si>
    <t xml:space="preserve">IN-2024-1106</t>
  </si>
  <si>
    <t xml:space="preserve">IN-2025-1107</t>
  </si>
  <si>
    <t xml:space="preserve">IN-2024-1108</t>
  </si>
  <si>
    <t xml:space="preserve">IN-2025-1109</t>
  </si>
  <si>
    <t xml:space="preserve">IN-2024-1110</t>
  </si>
  <si>
    <t xml:space="preserve">IN-2025-1111</t>
  </si>
  <si>
    <t xml:space="preserve">IN-2024-1112</t>
  </si>
  <si>
    <t xml:space="preserve">IN-2025-1113</t>
  </si>
  <si>
    <t xml:space="preserve">IN-2024-1114</t>
  </si>
  <si>
    <t xml:space="preserve">IN-2025-1115</t>
  </si>
  <si>
    <t xml:space="preserve">IN-2024-1116</t>
  </si>
  <si>
    <t xml:space="preserve">IN-2025-1117</t>
  </si>
  <si>
    <t xml:space="preserve">IN-2024-1118</t>
  </si>
  <si>
    <t xml:space="preserve">IN-2025-1119</t>
  </si>
  <si>
    <t xml:space="preserve">IN-2024-1120</t>
  </si>
  <si>
    <t xml:space="preserve">IN-2025-1121</t>
  </si>
  <si>
    <t xml:space="preserve">IN-2024-1122</t>
  </si>
  <si>
    <t xml:space="preserve">IN-2025-1123</t>
  </si>
  <si>
    <t xml:space="preserve">IN-2024-1124</t>
  </si>
  <si>
    <t xml:space="preserve">IN-2025-1125</t>
  </si>
  <si>
    <t xml:space="preserve">IN-2024-1126</t>
  </si>
  <si>
    <t xml:space="preserve">IN-2025-1127</t>
  </si>
  <si>
    <t xml:space="preserve">IN-2024-1128</t>
  </si>
  <si>
    <t xml:space="preserve">IN-2025-1129</t>
  </si>
  <si>
    <t xml:space="preserve">IN-2024-1130</t>
  </si>
  <si>
    <t xml:space="preserve">IN-2025-1131</t>
  </si>
  <si>
    <t xml:space="preserve">IN-2024-1132</t>
  </si>
  <si>
    <t xml:space="preserve">IN-2025-1133</t>
  </si>
  <si>
    <t xml:space="preserve">IN-2024-1134</t>
  </si>
  <si>
    <t xml:space="preserve">IN-2025-1135</t>
  </si>
  <si>
    <t xml:space="preserve">IN-2024-1136</t>
  </si>
  <si>
    <t xml:space="preserve">IN-2025-1137</t>
  </si>
  <si>
    <t xml:space="preserve">IN-2024-1138</t>
  </si>
  <si>
    <t xml:space="preserve">IN-2025-1139</t>
  </si>
  <si>
    <t xml:space="preserve">IN-2024-1140</t>
  </si>
  <si>
    <t xml:space="preserve">IN-2025-1141</t>
  </si>
  <si>
    <t xml:space="preserve">IN-2024-1142</t>
  </si>
  <si>
    <t xml:space="preserve">IN-2025-1143</t>
  </si>
  <si>
    <t xml:space="preserve">IN-2024-1144</t>
  </si>
  <si>
    <t xml:space="preserve">IN-2025-1145</t>
  </si>
  <si>
    <t xml:space="preserve">IN-2024-1146</t>
  </si>
  <si>
    <t xml:space="preserve">IN-2025-1147</t>
  </si>
  <si>
    <t xml:space="preserve">IN-2024-1148</t>
  </si>
  <si>
    <t xml:space="preserve">IN-2025-1149</t>
  </si>
  <si>
    <t xml:space="preserve">IN-2024-1150</t>
  </si>
  <si>
    <t xml:space="preserve">IN-2025-1151</t>
  </si>
  <si>
    <t xml:space="preserve">IN-2024-1152</t>
  </si>
  <si>
    <t xml:space="preserve">IN-2025-1153</t>
  </si>
  <si>
    <t xml:space="preserve">IN-2024-1154</t>
  </si>
  <si>
    <t xml:space="preserve">IN-2025-1155</t>
  </si>
  <si>
    <t xml:space="preserve">IN-2024-1156</t>
  </si>
  <si>
    <t xml:space="preserve">IN-2025-1157</t>
  </si>
  <si>
    <t xml:space="preserve">IN-2024-1158</t>
  </si>
  <si>
    <t xml:space="preserve">IN-2025-1159</t>
  </si>
  <si>
    <t xml:space="preserve">IN-2024-1160</t>
  </si>
  <si>
    <t xml:space="preserve">IN-2025-1161</t>
  </si>
  <si>
    <t xml:space="preserve">IN-2024-1162</t>
  </si>
  <si>
    <t xml:space="preserve">IN-2025-1163</t>
  </si>
  <si>
    <t xml:space="preserve">IN-2024-1164</t>
  </si>
  <si>
    <t xml:space="preserve">IN-2025-1165</t>
  </si>
  <si>
    <t xml:space="preserve">IN-2024-1166</t>
  </si>
  <si>
    <t xml:space="preserve">IN-2025-1167</t>
  </si>
  <si>
    <t xml:space="preserve">IN-2024-1168</t>
  </si>
  <si>
    <t xml:space="preserve">IN-2025-1169</t>
  </si>
  <si>
    <t xml:space="preserve">IN-2024-1170</t>
  </si>
  <si>
    <t xml:space="preserve">IN-2025-1171</t>
  </si>
  <si>
    <t xml:space="preserve">IN-2024-1172</t>
  </si>
  <si>
    <t xml:space="preserve">IN-2025-1173</t>
  </si>
  <si>
    <t xml:space="preserve">IN-2024-1174</t>
  </si>
  <si>
    <t xml:space="preserve">IN-2025-1175</t>
  </si>
  <si>
    <t xml:space="preserve">IN-2024-1176</t>
  </si>
  <si>
    <t xml:space="preserve">IN-2025-1177</t>
  </si>
  <si>
    <t xml:space="preserve">IN-2024-1178</t>
  </si>
  <si>
    <t xml:space="preserve">IN-2025-1179</t>
  </si>
  <si>
    <t xml:space="preserve">IN-2024-1180</t>
  </si>
  <si>
    <t xml:space="preserve">IN-2025-1181</t>
  </si>
  <si>
    <t xml:space="preserve">IN-2024-1182</t>
  </si>
  <si>
    <t xml:space="preserve">IN-2025-1183</t>
  </si>
  <si>
    <t xml:space="preserve">IN-2024-1184</t>
  </si>
  <si>
    <t xml:space="preserve">IN-2025-1185</t>
  </si>
  <si>
    <t xml:space="preserve">IN-2024-1186</t>
  </si>
  <si>
    <t xml:space="preserve">IN-2025-1187</t>
  </si>
  <si>
    <t xml:space="preserve">IN-2024-1188</t>
  </si>
  <si>
    <t xml:space="preserve">IN-2025-1189</t>
  </si>
  <si>
    <t xml:space="preserve">IN-2024-1190</t>
  </si>
  <si>
    <t xml:space="preserve">IN-2025-1191</t>
  </si>
  <si>
    <t xml:space="preserve">IN-2024-1192</t>
  </si>
  <si>
    <t xml:space="preserve">IN-2025-1193</t>
  </si>
  <si>
    <t xml:space="preserve">IN-2024-1194</t>
  </si>
  <si>
    <t xml:space="preserve">IN-2025-1195</t>
  </si>
  <si>
    <t xml:space="preserve">IN-2024-1196</t>
  </si>
  <si>
    <t xml:space="preserve">IN-2025-1197</t>
  </si>
  <si>
    <t xml:space="preserve">IN-2024-1198</t>
  </si>
  <si>
    <t xml:space="preserve">IN-2025-1199</t>
  </si>
  <si>
    <t xml:space="preserve">IN-2024-1200</t>
  </si>
  <si>
    <t xml:space="preserve">IN-2025-1201</t>
  </si>
  <si>
    <t xml:space="preserve">IN-2024-1202</t>
  </si>
  <si>
    <t xml:space="preserve">IN-2025-1203</t>
  </si>
  <si>
    <t xml:space="preserve">IN-2024-1204</t>
  </si>
  <si>
    <t xml:space="preserve">IN-2025-1205</t>
  </si>
  <si>
    <t xml:space="preserve">IN-2024-1206</t>
  </si>
  <si>
    <t xml:space="preserve">IN-2025-1207</t>
  </si>
  <si>
    <t xml:space="preserve">IN-2024-1208</t>
  </si>
  <si>
    <t xml:space="preserve">IN-2025-1209</t>
  </si>
  <si>
    <t xml:space="preserve">IN-2024-1210</t>
  </si>
  <si>
    <t xml:space="preserve">IN-2025-1211</t>
  </si>
  <si>
    <t xml:space="preserve">IN-2024-1212</t>
  </si>
  <si>
    <t xml:space="preserve">IN-2025-1213</t>
  </si>
  <si>
    <t xml:space="preserve">IN-2024-1214</t>
  </si>
  <si>
    <t xml:space="preserve">IN-2025-1215</t>
  </si>
  <si>
    <t xml:space="preserve">IN-2024-1216</t>
  </si>
  <si>
    <t xml:space="preserve">IN-2025-1217</t>
  </si>
  <si>
    <t xml:space="preserve">IN-2024-1218</t>
  </si>
  <si>
    <t xml:space="preserve">IN-2025-1219</t>
  </si>
  <si>
    <t xml:space="preserve">IN-2024-1220</t>
  </si>
  <si>
    <t xml:space="preserve">IN-2025-1221</t>
  </si>
  <si>
    <t xml:space="preserve">IN-2024-1222</t>
  </si>
  <si>
    <t xml:space="preserve">IN-2025-1223</t>
  </si>
  <si>
    <t xml:space="preserve">IN-2024-1224</t>
  </si>
  <si>
    <t xml:space="preserve">IN-2025-1225</t>
  </si>
  <si>
    <t xml:space="preserve">IN-2024-1226</t>
  </si>
  <si>
    <t xml:space="preserve">IN-2025-1227</t>
  </si>
  <si>
    <t xml:space="preserve">IN-2024-1228</t>
  </si>
  <si>
    <t xml:space="preserve">IN-2025-1229</t>
  </si>
  <si>
    <t xml:space="preserve">IN-2024-1230</t>
  </si>
  <si>
    <t xml:space="preserve">IN-2025-1231</t>
  </si>
  <si>
    <t xml:space="preserve">IN-2024-1232</t>
  </si>
  <si>
    <t xml:space="preserve">IN-2025-1233</t>
  </si>
  <si>
    <t xml:space="preserve">IN-2024-1234</t>
  </si>
  <si>
    <t xml:space="preserve">IN-2025-1235</t>
  </si>
  <si>
    <t xml:space="preserve">IN-2024-1236</t>
  </si>
  <si>
    <t xml:space="preserve">IN-2025-1237</t>
  </si>
  <si>
    <t xml:space="preserve">IN-2024-1238</t>
  </si>
  <si>
    <t xml:space="preserve">IN-2025-1239</t>
  </si>
  <si>
    <t xml:space="preserve">IN-2024-1240</t>
  </si>
  <si>
    <t xml:space="preserve">IN-2025-1241</t>
  </si>
  <si>
    <t xml:space="preserve">IN-2024-1242</t>
  </si>
  <si>
    <t xml:space="preserve">IN-2025-1243</t>
  </si>
  <si>
    <t xml:space="preserve">IN-2024-1244</t>
  </si>
  <si>
    <t xml:space="preserve">IN-2025-1245</t>
  </si>
  <si>
    <t xml:space="preserve">IN-2024-1246</t>
  </si>
  <si>
    <t xml:space="preserve">IN-2025-1247</t>
  </si>
  <si>
    <t xml:space="preserve">IN-2024-1248</t>
  </si>
  <si>
    <t xml:space="preserve">IN-2025-1249</t>
  </si>
  <si>
    <t xml:space="preserve">IN-2024-1250</t>
  </si>
  <si>
    <t xml:space="preserve">IN-2025-1251</t>
  </si>
  <si>
    <t xml:space="preserve">IN-2024-1252</t>
  </si>
  <si>
    <t xml:space="preserve">IN-2025-1253</t>
  </si>
  <si>
    <t xml:space="preserve">IN-2024-1254</t>
  </si>
  <si>
    <t xml:space="preserve">IN-2025-1255</t>
  </si>
  <si>
    <t xml:space="preserve">IN-2024-1256</t>
  </si>
  <si>
    <t xml:space="preserve">IN-2025-1257</t>
  </si>
  <si>
    <t xml:space="preserve">IN-2024-1258</t>
  </si>
  <si>
    <t xml:space="preserve">IN-2025-1259</t>
  </si>
  <si>
    <t xml:space="preserve">IN-2024-1260</t>
  </si>
  <si>
    <t xml:space="preserve">IN-2025-1261</t>
  </si>
  <si>
    <t xml:space="preserve">IN-2024-1262</t>
  </si>
  <si>
    <t xml:space="preserve">IN-2025-1263</t>
  </si>
  <si>
    <t xml:space="preserve">IN-2024-1264</t>
  </si>
  <si>
    <t xml:space="preserve">IN-2025-1265</t>
  </si>
  <si>
    <t xml:space="preserve">IN-2024-1266</t>
  </si>
  <si>
    <t xml:space="preserve">IN-2025-1267</t>
  </si>
  <si>
    <t xml:space="preserve">IN-2024-1268</t>
  </si>
  <si>
    <t xml:space="preserve">IN-2025-1269</t>
  </si>
  <si>
    <t xml:space="preserve">IN-2024-1270</t>
  </si>
  <si>
    <t xml:space="preserve">IN-2025-1271</t>
  </si>
  <si>
    <t xml:space="preserve">IN-2024-1272</t>
  </si>
  <si>
    <t xml:space="preserve">IN-2025-1273</t>
  </si>
  <si>
    <t xml:space="preserve">IN-2024-1274</t>
  </si>
  <si>
    <t xml:space="preserve">IN-2025-1275</t>
  </si>
  <si>
    <t xml:space="preserve">IN-2024-1276</t>
  </si>
  <si>
    <t xml:space="preserve">IN-2025-1277</t>
  </si>
  <si>
    <t xml:space="preserve">IN-2024-1278</t>
  </si>
  <si>
    <t xml:space="preserve">IN-2025-1279</t>
  </si>
  <si>
    <t xml:space="preserve">IN-2024-1280</t>
  </si>
  <si>
    <t xml:space="preserve">IN-2025-1281</t>
  </si>
  <si>
    <t xml:space="preserve">IN-2024-1282</t>
  </si>
  <si>
    <t xml:space="preserve">IN-2025-1283</t>
  </si>
  <si>
    <t xml:space="preserve">IN-2024-1284</t>
  </si>
  <si>
    <t xml:space="preserve">IN-2025-1285</t>
  </si>
  <si>
    <t xml:space="preserve">IN-2024-1286</t>
  </si>
  <si>
    <t xml:space="preserve">IN-2025-1287</t>
  </si>
  <si>
    <t xml:space="preserve">IN-2024-1288</t>
  </si>
  <si>
    <t xml:space="preserve">IN-2025-1289</t>
  </si>
  <si>
    <t xml:space="preserve">IN-2024-1290</t>
  </si>
  <si>
    <t xml:space="preserve">IN-2025-1291</t>
  </si>
  <si>
    <t xml:space="preserve">IN-2024-1292</t>
  </si>
  <si>
    <t xml:space="preserve">IN-2025-1293</t>
  </si>
  <si>
    <t xml:space="preserve">IN-2024-1294</t>
  </si>
  <si>
    <t xml:space="preserve">IN-2025-1295</t>
  </si>
  <si>
    <t xml:space="preserve">IN-2024-1296</t>
  </si>
  <si>
    <t xml:space="preserve">IN-2025-1297</t>
  </si>
  <si>
    <t xml:space="preserve">IN-2024-1298</t>
  </si>
  <si>
    <t xml:space="preserve">IN-2025-1299</t>
  </si>
  <si>
    <t xml:space="preserve">IN-2024-1300</t>
  </si>
  <si>
    <t xml:space="preserve">IN-2025-1301</t>
  </si>
  <si>
    <t xml:space="preserve">IN-2024-1302</t>
  </si>
  <si>
    <t xml:space="preserve">IN-2025-1303</t>
  </si>
  <si>
    <t xml:space="preserve">IN-2024-1304</t>
  </si>
  <si>
    <t xml:space="preserve">IN-2025-1305</t>
  </si>
  <si>
    <t xml:space="preserve">IN-2024-1306</t>
  </si>
  <si>
    <t xml:space="preserve">IN-2025-1307</t>
  </si>
  <si>
    <t xml:space="preserve">IN-2024-1308</t>
  </si>
  <si>
    <t xml:space="preserve">IN-2025-1309</t>
  </si>
  <si>
    <t xml:space="preserve">IN-2024-1310</t>
  </si>
  <si>
    <t xml:space="preserve">IN-2025-1311</t>
  </si>
  <si>
    <t xml:space="preserve">IN-2024-1312</t>
  </si>
  <si>
    <t xml:space="preserve">IN-2025-1313</t>
  </si>
  <si>
    <t xml:space="preserve">IN-2024-1314</t>
  </si>
  <si>
    <t xml:space="preserve">IN-2025-1315</t>
  </si>
  <si>
    <t xml:space="preserve">IN-2024-1316</t>
  </si>
  <si>
    <t xml:space="preserve">IN-2025-1317</t>
  </si>
  <si>
    <t xml:space="preserve">IN-2024-1318</t>
  </si>
  <si>
    <t xml:space="preserve">IN-2025-1319</t>
  </si>
  <si>
    <t xml:space="preserve">IN-2024-1320</t>
  </si>
  <si>
    <t xml:space="preserve">IN-2025-1321</t>
  </si>
  <si>
    <t xml:space="preserve">IN-2024-1322</t>
  </si>
  <si>
    <t xml:space="preserve">IN-2025-1323</t>
  </si>
  <si>
    <t xml:space="preserve">IN-2024-1324</t>
  </si>
  <si>
    <t xml:space="preserve">IN-2025-1325</t>
  </si>
  <si>
    <t xml:space="preserve">IN-2024-1326</t>
  </si>
  <si>
    <t xml:space="preserve">IN-2025-1327</t>
  </si>
  <si>
    <t xml:space="preserve">IN-2024-1328</t>
  </si>
  <si>
    <t xml:space="preserve">IN-2025-1329</t>
  </si>
  <si>
    <t xml:space="preserve">IN-2024-1330</t>
  </si>
  <si>
    <t xml:space="preserve">IN-2025-1331</t>
  </si>
  <si>
    <t xml:space="preserve">IN-2024-1332</t>
  </si>
  <si>
    <t xml:space="preserve">IN-2025-1333</t>
  </si>
  <si>
    <t xml:space="preserve">IN-2024-1334</t>
  </si>
  <si>
    <t xml:space="preserve">IN-2025-1335</t>
  </si>
  <si>
    <t xml:space="preserve">IN-2024-1336</t>
  </si>
  <si>
    <t xml:space="preserve">IN-2025-1337</t>
  </si>
  <si>
    <t xml:space="preserve">IN-2024-1338</t>
  </si>
  <si>
    <t xml:space="preserve">IN-2025-1339</t>
  </si>
  <si>
    <t xml:space="preserve">IN-2024-1340</t>
  </si>
  <si>
    <t xml:space="preserve">IN-2025-1341</t>
  </si>
  <si>
    <t xml:space="preserve">IN-2024-1342</t>
  </si>
  <si>
    <t xml:space="preserve">IN-2025-1343</t>
  </si>
  <si>
    <t xml:space="preserve">IN-2024-1344</t>
  </si>
  <si>
    <t xml:space="preserve">IN-2025-1345</t>
  </si>
  <si>
    <t xml:space="preserve">IN-2024-1346</t>
  </si>
  <si>
    <t xml:space="preserve">IN-2025-1347</t>
  </si>
  <si>
    <t xml:space="preserve">IN-2024-1348</t>
  </si>
  <si>
    <t xml:space="preserve">IN-2025-1349</t>
  </si>
  <si>
    <t xml:space="preserve">IN-2024-1350</t>
  </si>
  <si>
    <t xml:space="preserve">IN-2025-1351</t>
  </si>
  <si>
    <t xml:space="preserve">IN-2024-1352</t>
  </si>
  <si>
    <t xml:space="preserve">IN-2025-1353</t>
  </si>
  <si>
    <t xml:space="preserve">IN-2024-1354</t>
  </si>
  <si>
    <t xml:space="preserve">IN-2025-1355</t>
  </si>
  <si>
    <t xml:space="preserve">IN-2024-1356</t>
  </si>
  <si>
    <t xml:space="preserve">IN-2025-1357</t>
  </si>
  <si>
    <t xml:space="preserve">IN-2024-1358</t>
  </si>
  <si>
    <t xml:space="preserve">IN-2025-1359</t>
  </si>
  <si>
    <t xml:space="preserve">IN-2024-1360</t>
  </si>
  <si>
    <t xml:space="preserve">IN-2025-1361</t>
  </si>
  <si>
    <t xml:space="preserve">IN-2024-1362</t>
  </si>
  <si>
    <t xml:space="preserve">IN-2025-1363</t>
  </si>
  <si>
    <t xml:space="preserve">IN-2024-1364</t>
  </si>
  <si>
    <t xml:space="preserve">IN-2025-1365</t>
  </si>
  <si>
    <t xml:space="preserve">IN-2024-1366</t>
  </si>
  <si>
    <t xml:space="preserve">IN-2025-1367</t>
  </si>
  <si>
    <t xml:space="preserve">IN-2024-1368</t>
  </si>
  <si>
    <t xml:space="preserve">IN-2025-1369</t>
  </si>
  <si>
    <t xml:space="preserve">IN-2024-1370</t>
  </si>
  <si>
    <t xml:space="preserve">IN-2025-1371</t>
  </si>
  <si>
    <t xml:space="preserve">IN-2024-1372</t>
  </si>
  <si>
    <t xml:space="preserve">IN-2025-1373</t>
  </si>
  <si>
    <t xml:space="preserve">IN-2024-1374</t>
  </si>
  <si>
    <t xml:space="preserve">IN-2025-1375</t>
  </si>
  <si>
    <t xml:space="preserve">IN-2024-1376</t>
  </si>
  <si>
    <t xml:space="preserve">IN-2025-1377</t>
  </si>
  <si>
    <t xml:space="preserve">IN-2024-1378</t>
  </si>
  <si>
    <t xml:space="preserve">IN-2025-1379</t>
  </si>
  <si>
    <t xml:space="preserve">IN-2024-1380</t>
  </si>
  <si>
    <t xml:space="preserve">IN-2025-1381</t>
  </si>
  <si>
    <t xml:space="preserve">IN-2024-1382</t>
  </si>
  <si>
    <t xml:space="preserve">IN-2025-1383</t>
  </si>
  <si>
    <t xml:space="preserve">IN-2024-1384</t>
  </si>
  <si>
    <t xml:space="preserve">IN-2025-1385</t>
  </si>
  <si>
    <t xml:space="preserve">IN-2024-1386</t>
  </si>
  <si>
    <t xml:space="preserve">IN-2025-1387</t>
  </si>
  <si>
    <t xml:space="preserve">IN-2024-1388</t>
  </si>
  <si>
    <t xml:space="preserve">IN-2025-1389</t>
  </si>
  <si>
    <t xml:space="preserve">IN-2024-1390</t>
  </si>
  <si>
    <t xml:space="preserve">IN-2025-1391</t>
  </si>
  <si>
    <t xml:space="preserve">IN-2024-1392</t>
  </si>
  <si>
    <t xml:space="preserve">IN-2025-1393</t>
  </si>
  <si>
    <t xml:space="preserve">IN-2024-1394</t>
  </si>
  <si>
    <t xml:space="preserve">IN-2025-1395</t>
  </si>
  <si>
    <t xml:space="preserve">IN-2024-1396</t>
  </si>
  <si>
    <t xml:space="preserve">IN-2025-1397</t>
  </si>
  <si>
    <t xml:space="preserve">IN-2024-1398</t>
  </si>
  <si>
    <t xml:space="preserve">IN-2025-1399</t>
  </si>
  <si>
    <t xml:space="preserve">IN-2024-1400</t>
  </si>
  <si>
    <t xml:space="preserve">IN-2025-1401</t>
  </si>
  <si>
    <t xml:space="preserve">IN-2024-1402</t>
  </si>
  <si>
    <t xml:space="preserve">IN-2025-1403</t>
  </si>
  <si>
    <t xml:space="preserve">IN-2024-1404</t>
  </si>
  <si>
    <t xml:space="preserve">IN-2025-1405</t>
  </si>
  <si>
    <t xml:space="preserve">IN-2024-1406</t>
  </si>
  <si>
    <t xml:space="preserve">IN-2025-1407</t>
  </si>
  <si>
    <t xml:space="preserve">IN-2024-1408</t>
  </si>
  <si>
    <t xml:space="preserve">IN-2025-1409</t>
  </si>
  <si>
    <t xml:space="preserve">IN-2024-1410</t>
  </si>
  <si>
    <t xml:space="preserve">IN-2025-1411</t>
  </si>
  <si>
    <t xml:space="preserve">IN-2024-1412</t>
  </si>
  <si>
    <t xml:space="preserve">IN-2025-1413</t>
  </si>
  <si>
    <t xml:space="preserve">IN-2024-1414</t>
  </si>
  <si>
    <t xml:space="preserve">IN-2025-1415</t>
  </si>
  <si>
    <t xml:space="preserve">IN-2024-1416</t>
  </si>
  <si>
    <t xml:space="preserve">IN-2025-1417</t>
  </si>
  <si>
    <t xml:space="preserve">IN-2024-1418</t>
  </si>
  <si>
    <t xml:space="preserve">IN-2025-1419</t>
  </si>
  <si>
    <t xml:space="preserve">IN-2024-1420</t>
  </si>
  <si>
    <t xml:space="preserve">IN-2025-1421</t>
  </si>
  <si>
    <t xml:space="preserve">IN-2024-1422</t>
  </si>
  <si>
    <t xml:space="preserve">IN-2025-1423</t>
  </si>
  <si>
    <t xml:space="preserve">IN-2024-1424</t>
  </si>
  <si>
    <t xml:space="preserve">IN-2025-1425</t>
  </si>
  <si>
    <t xml:space="preserve">IN-2024-1426</t>
  </si>
  <si>
    <t xml:space="preserve">IN-2025-1427</t>
  </si>
  <si>
    <t xml:space="preserve">IN-2024-1428</t>
  </si>
  <si>
    <t xml:space="preserve">IN-2025-1429</t>
  </si>
  <si>
    <t xml:space="preserve">IN-2024-1430</t>
  </si>
  <si>
    <t xml:space="preserve">IN-2025-1431</t>
  </si>
  <si>
    <t xml:space="preserve">IN-2024-1432</t>
  </si>
  <si>
    <t xml:space="preserve">IN-2025-1433</t>
  </si>
  <si>
    <t xml:space="preserve">IN-2024-1434</t>
  </si>
  <si>
    <t xml:space="preserve">IN-2025-1435</t>
  </si>
  <si>
    <t xml:space="preserve">IN-2024-1436</t>
  </si>
  <si>
    <t xml:space="preserve">IN-2025-1437</t>
  </si>
  <si>
    <t xml:space="preserve">IN-2024-1438</t>
  </si>
  <si>
    <t xml:space="preserve">IN-2025-1439</t>
  </si>
  <si>
    <t xml:space="preserve">IN-2024-1440</t>
  </si>
  <si>
    <t xml:space="preserve">IN-2025-1441</t>
  </si>
  <si>
    <t xml:space="preserve">IN-2024-1442</t>
  </si>
  <si>
    <t xml:space="preserve">IN-2025-1443</t>
  </si>
  <si>
    <t xml:space="preserve">IN-2024-1444</t>
  </si>
  <si>
    <t xml:space="preserve">IN-2025-1445</t>
  </si>
  <si>
    <t xml:space="preserve">IN-2024-1446</t>
  </si>
  <si>
    <t xml:space="preserve">IN-2025-1447</t>
  </si>
  <si>
    <t xml:space="preserve">IN-2024-1448</t>
  </si>
  <si>
    <t xml:space="preserve">IN-2025-1449</t>
  </si>
  <si>
    <t xml:space="preserve">IN-2024-1450</t>
  </si>
  <si>
    <t xml:space="preserve">IN-2025-1451</t>
  </si>
  <si>
    <t xml:space="preserve">IN-2024-1452</t>
  </si>
  <si>
    <t xml:space="preserve">IN-2025-1453</t>
  </si>
  <si>
    <t xml:space="preserve">IN-2024-1454</t>
  </si>
  <si>
    <t xml:space="preserve">IN-2025-1455</t>
  </si>
  <si>
    <t xml:space="preserve">IN-2024-1456</t>
  </si>
  <si>
    <t xml:space="preserve">IN-2025-1457</t>
  </si>
  <si>
    <t xml:space="preserve">IN-2024-1458</t>
  </si>
  <si>
    <t xml:space="preserve">IN-2025-1459</t>
  </si>
  <si>
    <t xml:space="preserve">IN-2024-1460</t>
  </si>
  <si>
    <t xml:space="preserve">IN-2025-1461</t>
  </si>
  <si>
    <t xml:space="preserve">IN-2024-1462</t>
  </si>
  <si>
    <t xml:space="preserve">IN-2025-1463</t>
  </si>
  <si>
    <t xml:space="preserve">IN-2024-1464</t>
  </si>
  <si>
    <t xml:space="preserve">IN-2025-1465</t>
  </si>
  <si>
    <t xml:space="preserve">IN-2024-1466</t>
  </si>
  <si>
    <t xml:space="preserve">IN-2025-1467</t>
  </si>
  <si>
    <t xml:space="preserve">IN-2024-1468</t>
  </si>
  <si>
    <t xml:space="preserve">IN-2025-1469</t>
  </si>
  <si>
    <t xml:space="preserve">IN-2024-1470</t>
  </si>
  <si>
    <t xml:space="preserve">IN-2025-1471</t>
  </si>
  <si>
    <t xml:space="preserve">IN-2024-1472</t>
  </si>
  <si>
    <t xml:space="preserve">IN-2025-1473</t>
  </si>
  <si>
    <t xml:space="preserve">IN-2024-1474</t>
  </si>
  <si>
    <t xml:space="preserve">IN-2025-1475</t>
  </si>
  <si>
    <t xml:space="preserve">IN-2024-1476</t>
  </si>
  <si>
    <t xml:space="preserve">IN-2025-1477</t>
  </si>
  <si>
    <t xml:space="preserve">IN-2024-1478</t>
  </si>
  <si>
    <t xml:space="preserve">IN-2025-1479</t>
  </si>
  <si>
    <t xml:space="preserve">IN-2024-1480</t>
  </si>
  <si>
    <t xml:space="preserve">IN-2025-1481</t>
  </si>
  <si>
    <t xml:space="preserve">IN-2024-1482</t>
  </si>
  <si>
    <t xml:space="preserve">IN-2025-1483</t>
  </si>
  <si>
    <t xml:space="preserve">IN-2024-1484</t>
  </si>
  <si>
    <t xml:space="preserve">IN-2025-1485</t>
  </si>
  <si>
    <t xml:space="preserve">IN-2024-1486</t>
  </si>
  <si>
    <t xml:space="preserve">IN-2025-1487</t>
  </si>
  <si>
    <t xml:space="preserve">IN-2024-1488</t>
  </si>
  <si>
    <t xml:space="preserve">IN-2025-1489</t>
  </si>
  <si>
    <t xml:space="preserve">IN-2024-1490</t>
  </si>
  <si>
    <t xml:space="preserve">IN-2025-1491</t>
  </si>
  <si>
    <t xml:space="preserve">IN-2024-1492</t>
  </si>
  <si>
    <t xml:space="preserve">IN-2025-1493</t>
  </si>
  <si>
    <t xml:space="preserve">IN-2024-1494</t>
  </si>
  <si>
    <t xml:space="preserve">IN-2025-1495</t>
  </si>
  <si>
    <t xml:space="preserve">IN-2024-1496</t>
  </si>
  <si>
    <t xml:space="preserve">IN-2025-1497</t>
  </si>
  <si>
    <t xml:space="preserve">IN-2024-1498</t>
  </si>
  <si>
    <t xml:space="preserve">IN-2025-1499</t>
  </si>
  <si>
    <t xml:space="preserve">IN-2024-1500</t>
  </si>
  <si>
    <t xml:space="preserve">Sales &amp; Profit by Category</t>
  </si>
  <si>
    <t xml:space="preserve">Total</t>
  </si>
  <si>
    <t xml:space="preserve">Sales &amp; Profit by Region</t>
  </si>
  <si>
    <t xml:space="preserve">Monthly Sales &amp; Profit Trend</t>
  </si>
  <si>
    <t xml:space="preserve">Month</t>
  </si>
  <si>
    <t xml:space="preserve">Orders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</si>
  <si>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</si>
  <si>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</si>
  <si>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</si>
  <si>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</si>
  <si>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</si>
  <si>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</si>
  <si>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</si>
  <si>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</si>
  <si>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</si>
  <si>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</si>
  <si>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</si>
  <si>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</si>
  <si>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</si>
  <si>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</si>
  <si>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</si>
  <si>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</si>
  <si>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</si>
  <si>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</si>
  <si>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</si>
  <si>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</si>
  <si>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</si>
  <si>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</si>
  <si>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</si>
  <si>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</si>
  <si>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Sub-Category Performance (High / Low Performers)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</si>
</sst>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0"/>
    <numFmt numFmtId="167" formatCode="0.0%"/>
    <numFmt numFmtId="168" formatCode="#,##0"/>
    <numFmt numFmtId="169" formatCode="yyyy\-mm\-dd"/>
    <numFmt numFmtId="170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&amp; Profit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PivotTables!B2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PivotTables!$B$3:$B$5</c:f>
              <c:numCache>
                <c:formatCode>\₹#,##0</c:formatCode>
                <c:ptCount val="3"/>
                <c:pt idx="0">
                  <c:v>11037870.15</c:v>
                </c:pt>
                <c:pt idx="1">
                  <c:v>1212832.73</c:v>
                </c:pt>
                <c:pt idx="2">
                  <c:v>28799669.93</c:v>
                </c:pt>
              </c:numCache>
            </c:numRef>
          </c:val>
        </c:ser>
        <c:ser>
          <c:idx val="1"/>
          <c:order val="1"/>
          <c:tx>
            <c:strRef>
              <c:f>PivotTables!C2</c:f>
              <c:strCache>
                <c:ptCount val="1"/>
                <c:pt idx="0">
                  <c:v>Total Profit (INR)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PivotTables!$C$3:$C$5</c:f>
              <c:numCache>
                <c:formatCode>\₹#,##0</c:formatCode>
                <c:ptCount val="3"/>
                <c:pt idx="0">
                  <c:v>402164.79</c:v>
                </c:pt>
                <c:pt idx="1">
                  <c:v>44506.83</c:v>
                </c:pt>
                <c:pt idx="2">
                  <c:v>1618002.38</c:v>
                </c:pt>
              </c:numCache>
            </c:numRef>
          </c:val>
        </c:ser>
        <c:gapWidth val="150"/>
        <c:overlap val="0"/>
        <c:axId val="78767817"/>
        <c:axId val="35683853"/>
      </c:barChart>
      <c:catAx>
        <c:axId val="787678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83853"/>
        <c:crosses val="autoZero"/>
        <c:auto val="1"/>
        <c:lblAlgn val="ctr"/>
        <c:lblOffset val="100"/>
        <c:noMultiLvlLbl val="0"/>
      </c:catAx>
      <c:valAx>
        <c:axId val="35683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67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PivotTables!B10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PivotTables!$A$11:$A$14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PivotTables!$B$11:$B$14</c:f>
              <c:numCache>
                <c:formatCode>\₹#,##0</c:formatCode>
                <c:ptCount val="4"/>
                <c:pt idx="0">
                  <c:v>7225031.14</c:v>
                </c:pt>
                <c:pt idx="1">
                  <c:v>12518698.79</c:v>
                </c:pt>
                <c:pt idx="2">
                  <c:v>10876618.35</c:v>
                </c:pt>
                <c:pt idx="3">
                  <c:v>10430024.53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PivotTables!B19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PivotTables!$A$20:$A$43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PivotTables!$B$20:$B$43</c:f>
              <c:numCache>
                <c:formatCode>\₹#,##0</c:formatCode>
                <c:ptCount val="24"/>
                <c:pt idx="0">
                  <c:v>1634826.82</c:v>
                </c:pt>
                <c:pt idx="1">
                  <c:v>1056013.99</c:v>
                </c:pt>
                <c:pt idx="2">
                  <c:v>1020067.53</c:v>
                </c:pt>
                <c:pt idx="3">
                  <c:v>3130269.01</c:v>
                </c:pt>
                <c:pt idx="4">
                  <c:v>1664587.57</c:v>
                </c:pt>
                <c:pt idx="5">
                  <c:v>2453249</c:v>
                </c:pt>
                <c:pt idx="6">
                  <c:v>1604069.9</c:v>
                </c:pt>
                <c:pt idx="7">
                  <c:v>3027023.37</c:v>
                </c:pt>
                <c:pt idx="8">
                  <c:v>1621408.44</c:v>
                </c:pt>
                <c:pt idx="9">
                  <c:v>1686280.71</c:v>
                </c:pt>
                <c:pt idx="10">
                  <c:v>1765557.03</c:v>
                </c:pt>
                <c:pt idx="11">
                  <c:v>1857364.11</c:v>
                </c:pt>
                <c:pt idx="12">
                  <c:v>1123703.19</c:v>
                </c:pt>
                <c:pt idx="13">
                  <c:v>1722624.47</c:v>
                </c:pt>
                <c:pt idx="14">
                  <c:v>1136795.99</c:v>
                </c:pt>
                <c:pt idx="15">
                  <c:v>1239539.85</c:v>
                </c:pt>
                <c:pt idx="16">
                  <c:v>1259128.65</c:v>
                </c:pt>
                <c:pt idx="17">
                  <c:v>1880619.31</c:v>
                </c:pt>
                <c:pt idx="18">
                  <c:v>1768225.63</c:v>
                </c:pt>
                <c:pt idx="19">
                  <c:v>1100622.04</c:v>
                </c:pt>
                <c:pt idx="20">
                  <c:v>3209041.27</c:v>
                </c:pt>
                <c:pt idx="21">
                  <c:v>1839086.32</c:v>
                </c:pt>
                <c:pt idx="22">
                  <c:v>1499383.09</c:v>
                </c:pt>
                <c:pt idx="23">
                  <c:v>750885.52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PivotTables!C19</c:f>
              <c:strCache>
                <c:ptCount val="1"/>
                <c:pt idx="0">
                  <c:v>Total Profit (INR)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PivotTables!$A$20:$A$43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PivotTables!$C$20:$C$43</c:f>
              <c:numCache>
                <c:formatCode>\₹#,##0</c:formatCode>
                <c:ptCount val="24"/>
                <c:pt idx="0">
                  <c:v>16740.89</c:v>
                </c:pt>
                <c:pt idx="1">
                  <c:v>77707.37</c:v>
                </c:pt>
                <c:pt idx="2">
                  <c:v>77697.02</c:v>
                </c:pt>
                <c:pt idx="3">
                  <c:v>379787.03</c:v>
                </c:pt>
                <c:pt idx="4">
                  <c:v>79380.15</c:v>
                </c:pt>
                <c:pt idx="5">
                  <c:v>84493.29</c:v>
                </c:pt>
                <c:pt idx="6">
                  <c:v>98187.97</c:v>
                </c:pt>
                <c:pt idx="7">
                  <c:v>216901.2</c:v>
                </c:pt>
                <c:pt idx="8">
                  <c:v>141843.4</c:v>
                </c:pt>
                <c:pt idx="9">
                  <c:v>362.699999999992</c:v>
                </c:pt>
                <c:pt idx="10">
                  <c:v>135633.31</c:v>
                </c:pt>
                <c:pt idx="11">
                  <c:v>76677.81</c:v>
                </c:pt>
                <c:pt idx="12">
                  <c:v>104982.39</c:v>
                </c:pt>
                <c:pt idx="13">
                  <c:v>-112558.63</c:v>
                </c:pt>
                <c:pt idx="14">
                  <c:v>155129.65</c:v>
                </c:pt>
                <c:pt idx="15">
                  <c:v>123803.03</c:v>
                </c:pt>
                <c:pt idx="16">
                  <c:v>64344.44</c:v>
                </c:pt>
                <c:pt idx="17">
                  <c:v>140824.57</c:v>
                </c:pt>
                <c:pt idx="18">
                  <c:v>-113090.2</c:v>
                </c:pt>
                <c:pt idx="19">
                  <c:v>160766.8</c:v>
                </c:pt>
                <c:pt idx="20">
                  <c:v>-23923.25</c:v>
                </c:pt>
                <c:pt idx="21">
                  <c:v>87583.23</c:v>
                </c:pt>
                <c:pt idx="22">
                  <c:v>97293.6</c:v>
                </c:pt>
                <c:pt idx="23">
                  <c:v>-5893.77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306994"/>
        <c:axId val="54533820"/>
      </c:lineChart>
      <c:catAx>
        <c:axId val="123069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3820"/>
        <c:crosses val="autoZero"/>
        <c:auto val="1"/>
        <c:lblAlgn val="ctr"/>
        <c:lblOffset val="100"/>
        <c:noMultiLvlLbl val="0"/>
      </c:catAx>
      <c:valAx>
        <c:axId val="54533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06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176040</xdr:rowOff>
    </xdr:from>
    <xdr:to>
      <xdr:col>4</xdr:col>
      <xdr:colOff>387720</xdr:colOff>
      <xdr:row>25</xdr:row>
      <xdr:rowOff>7560</xdr:rowOff>
    </xdr:to>
    <xdr:graphicFrame>
      <xdr:nvGraphicFramePr>
        <xdr:cNvPr id="0" name="Chart 1"/>
        <xdr:cNvGraphicFramePr/>
      </xdr:nvGraphicFramePr>
      <xdr:xfrm>
        <a:off x="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176040</xdr:rowOff>
    </xdr:from>
    <xdr:to>
      <xdr:col>11</xdr:col>
      <xdr:colOff>216360</xdr:colOff>
      <xdr:row>25</xdr:row>
      <xdr:rowOff>7560</xdr:rowOff>
    </xdr:to>
    <xdr:graphicFrame>
      <xdr:nvGraphicFramePr>
        <xdr:cNvPr id="1" name="Chart 2"/>
        <xdr:cNvGraphicFramePr/>
      </xdr:nvGraphicFramePr>
      <xdr:xfrm>
        <a:off x="7330320" y="19051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176040</xdr:rowOff>
    </xdr:from>
    <xdr:to>
      <xdr:col>8</xdr:col>
      <xdr:colOff>463320</xdr:colOff>
      <xdr:row>43</xdr:row>
      <xdr:rowOff>177120</xdr:rowOff>
    </xdr:to>
    <xdr:graphicFrame>
      <xdr:nvGraphicFramePr>
        <xdr:cNvPr id="2" name="Chart 3"/>
        <xdr:cNvGraphicFramePr/>
      </xdr:nvGraphicFramePr>
      <xdr:xfrm>
        <a:off x="0" y="5143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12" min="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</row>
    <row r="6" customFormat="false" ht="15" hidden="false" customHeight="false" outlineLevel="0" collapsed="false">
      <c r="A6" s="7" t="n">
        <f aca="false">SUM(Data!L2:L501)</f>
        <v>41050372.81</v>
      </c>
      <c r="B6" s="7"/>
      <c r="C6" s="7"/>
      <c r="D6" s="8" t="n">
        <f aca="false">SUM(Data!M2:M501)</f>
        <v>2064674</v>
      </c>
      <c r="E6" s="8"/>
      <c r="F6" s="8"/>
      <c r="G6" s="9" t="n">
        <f aca="false">COUNTA(Data!A2:A501)</f>
        <v>500</v>
      </c>
      <c r="H6" s="9"/>
      <c r="I6" s="9"/>
      <c r="J6" s="10" t="n">
        <f aca="false">D6/A6</f>
        <v>0.0502961083826513</v>
      </c>
      <c r="K6" s="10"/>
      <c r="L6" s="10"/>
    </row>
    <row r="7" customFormat="false" ht="15" hidden="false" customHeight="false" outlineLevel="0" collapsed="false">
      <c r="A7" s="7"/>
      <c r="B7" s="7"/>
      <c r="C7" s="7"/>
      <c r="D7" s="8"/>
      <c r="E7" s="8"/>
      <c r="F7" s="8"/>
      <c r="G7" s="9"/>
      <c r="H7" s="9"/>
      <c r="I7" s="9"/>
      <c r="J7" s="10"/>
      <c r="K7" s="10"/>
      <c r="L7" s="10"/>
    </row>
    <row r="9" customFormat="false" ht="16.15" hidden="false" customHeight="false" outlineLevel="0" collapsed="false">
      <c r="A9" s="11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45" customFormat="false" ht="16.15" hidden="false" customHeight="false" outlineLevel="0" collapsed="false">
      <c r="A45" s="11" t="s">
        <v>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7" customFormat="false" ht="15" hidden="false" customHeight="false" outlineLevel="0" collapsed="false">
      <c r="A47" s="12" t="s">
        <v>8</v>
      </c>
      <c r="B47" s="12" t="s">
        <v>9</v>
      </c>
      <c r="C47" s="12" t="s">
        <v>10</v>
      </c>
      <c r="D47" s="12" t="s">
        <v>11</v>
      </c>
      <c r="E47" s="12" t="s">
        <v>12</v>
      </c>
    </row>
    <row r="48" customFormat="false" ht="15" hidden="false" customHeight="false" outlineLevel="0" collapsed="false">
      <c r="A48" s="13" t="str">
        <f aca="false">PivotTables!A49</f>
        <v>Accessories</v>
      </c>
      <c r="B48" s="13" t="str">
        <f aca="false">PivotTables!B49</f>
        <v>Technology</v>
      </c>
      <c r="C48" s="14" t="n">
        <f aca="false">PivotTables!C49</f>
        <v>5679821.2</v>
      </c>
      <c r="D48" s="14" t="n">
        <f aca="false">PivotTables!D49</f>
        <v>443193.84</v>
      </c>
      <c r="E48" s="15" t="n">
        <f aca="false">PivotTables!E49</f>
        <v>0.0780295407890657</v>
      </c>
    </row>
    <row r="49" customFormat="false" ht="15" hidden="false" customHeight="false" outlineLevel="0" collapsed="false">
      <c r="A49" s="13" t="str">
        <f aca="false">PivotTables!A50</f>
        <v>Art</v>
      </c>
      <c r="B49" s="13" t="str">
        <f aca="false">PivotTables!B50</f>
        <v>Office Supplies</v>
      </c>
      <c r="C49" s="14" t="n">
        <f aca="false">PivotTables!C50</f>
        <v>209425.21</v>
      </c>
      <c r="D49" s="14" t="n">
        <f aca="false">PivotTables!D50</f>
        <v>7153.05</v>
      </c>
      <c r="E49" s="15" t="n">
        <f aca="false">PivotTables!E50</f>
        <v>0.0341556300695604</v>
      </c>
    </row>
    <row r="50" customFormat="false" ht="15" hidden="false" customHeight="false" outlineLevel="0" collapsed="false">
      <c r="A50" s="13" t="str">
        <f aca="false">PivotTables!A51</f>
        <v>Binders</v>
      </c>
      <c r="B50" s="13" t="str">
        <f aca="false">PivotTables!B51</f>
        <v>Office Supplies</v>
      </c>
      <c r="C50" s="14" t="n">
        <f aca="false">PivotTables!C51</f>
        <v>201026.93</v>
      </c>
      <c r="D50" s="14" t="n">
        <f aca="false">PivotTables!D51</f>
        <v>21658.73</v>
      </c>
      <c r="E50" s="15" t="n">
        <f aca="false">PivotTables!E51</f>
        <v>0.107740440546946</v>
      </c>
    </row>
    <row r="51" customFormat="false" ht="15" hidden="false" customHeight="false" outlineLevel="0" collapsed="false">
      <c r="A51" s="13" t="str">
        <f aca="false">PivotTables!A52</f>
        <v>Bookcases</v>
      </c>
      <c r="B51" s="13" t="str">
        <f aca="false">PivotTables!B52</f>
        <v>Furniture</v>
      </c>
      <c r="C51" s="14" t="n">
        <f aca="false">PivotTables!C52</f>
        <v>3529016.69</v>
      </c>
      <c r="D51" s="14" t="n">
        <f aca="false">PivotTables!D52</f>
        <v>47129.72</v>
      </c>
      <c r="E51" s="15" t="n">
        <f aca="false">PivotTables!E52</f>
        <v>0.0133549155869818</v>
      </c>
    </row>
    <row r="52" customFormat="false" ht="15" hidden="false" customHeight="false" outlineLevel="0" collapsed="false">
      <c r="A52" s="13" t="str">
        <f aca="false">PivotTables!A53</f>
        <v>Chairs</v>
      </c>
      <c r="B52" s="13" t="str">
        <f aca="false">PivotTables!B53</f>
        <v>Furniture</v>
      </c>
      <c r="C52" s="14" t="n">
        <f aca="false">PivotTables!C53</f>
        <v>2084952.04</v>
      </c>
      <c r="D52" s="14" t="n">
        <f aca="false">PivotTables!D53</f>
        <v>67648.29</v>
      </c>
      <c r="E52" s="15" t="n">
        <f aca="false">PivotTables!E53</f>
        <v>0.032445969356686</v>
      </c>
    </row>
    <row r="53" customFormat="false" ht="15" hidden="false" customHeight="false" outlineLevel="0" collapsed="false">
      <c r="A53" s="13" t="str">
        <f aca="false">PivotTables!A54</f>
        <v>Copiers</v>
      </c>
      <c r="B53" s="13" t="str">
        <f aca="false">PivotTables!B54</f>
        <v>Technology</v>
      </c>
      <c r="C53" s="14" t="n">
        <f aca="false">PivotTables!C54</f>
        <v>8439129.14</v>
      </c>
      <c r="D53" s="14" t="n">
        <f aca="false">PivotTables!D54</f>
        <v>408188.26</v>
      </c>
      <c r="E53" s="15" t="n">
        <f aca="false">PivotTables!E54</f>
        <v>0.0483685286986851</v>
      </c>
    </row>
    <row r="54" customFormat="false" ht="15" hidden="false" customHeight="false" outlineLevel="0" collapsed="false">
      <c r="A54" s="13" t="str">
        <f aca="false">PivotTables!A55</f>
        <v>Envelopes</v>
      </c>
      <c r="B54" s="13" t="str">
        <f aca="false">PivotTables!B55</f>
        <v>Office Supplies</v>
      </c>
      <c r="C54" s="14" t="n">
        <f aca="false">PivotTables!C55</f>
        <v>261262.65</v>
      </c>
      <c r="D54" s="14" t="n">
        <f aca="false">PivotTables!D55</f>
        <v>9101.56</v>
      </c>
      <c r="E54" s="15" t="n">
        <f aca="false">PivotTables!E55</f>
        <v>0.0348368203415222</v>
      </c>
    </row>
    <row r="55" customFormat="false" ht="15" hidden="false" customHeight="false" outlineLevel="0" collapsed="false">
      <c r="A55" s="13" t="str">
        <f aca="false">PivotTables!A56</f>
        <v>Furnishings</v>
      </c>
      <c r="B55" s="13" t="str">
        <f aca="false">PivotTables!B56</f>
        <v>Furniture</v>
      </c>
      <c r="C55" s="14" t="n">
        <f aca="false">PivotTables!C56</f>
        <v>3218362.27</v>
      </c>
      <c r="D55" s="14" t="n">
        <f aca="false">PivotTables!D56</f>
        <v>161780.2</v>
      </c>
      <c r="E55" s="15" t="n">
        <f aca="false">PivotTables!E56</f>
        <v>0.0502678649659909</v>
      </c>
    </row>
    <row r="56" customFormat="false" ht="15" hidden="false" customHeight="false" outlineLevel="0" collapsed="false">
      <c r="A56" s="13" t="str">
        <f aca="false">PivotTables!A57</f>
        <v>Labels</v>
      </c>
      <c r="B56" s="13" t="str">
        <f aca="false">PivotTables!B57</f>
        <v>Office Supplies</v>
      </c>
      <c r="C56" s="14" t="n">
        <f aca="false">PivotTables!C57</f>
        <v>210188.8</v>
      </c>
      <c r="D56" s="14" t="n">
        <f aca="false">PivotTables!D57</f>
        <v>-6761.4</v>
      </c>
      <c r="E56" s="15" t="n">
        <f aca="false">PivotTables!E57</f>
        <v>-0.0321682220936606</v>
      </c>
    </row>
    <row r="57" customFormat="false" ht="15" hidden="false" customHeight="false" outlineLevel="0" collapsed="false">
      <c r="A57" s="13" t="str">
        <f aca="false">PivotTables!A58</f>
        <v>Machines</v>
      </c>
      <c r="B57" s="13" t="str">
        <f aca="false">PivotTables!B58</f>
        <v>Technology</v>
      </c>
      <c r="C57" s="14" t="n">
        <f aca="false">PivotTables!C58</f>
        <v>7179647.15</v>
      </c>
      <c r="D57" s="14" t="n">
        <f aca="false">PivotTables!D58</f>
        <v>573765.49</v>
      </c>
      <c r="E57" s="15" t="n">
        <f aca="false">PivotTables!E58</f>
        <v>0.0799155554601315</v>
      </c>
    </row>
    <row r="58" customFormat="false" ht="15" hidden="false" customHeight="false" outlineLevel="0" collapsed="false">
      <c r="A58" s="13" t="str">
        <f aca="false">PivotTables!A59</f>
        <v>Paper</v>
      </c>
      <c r="B58" s="13" t="str">
        <f aca="false">PivotTables!B59</f>
        <v>Office Supplies</v>
      </c>
      <c r="C58" s="14" t="n">
        <f aca="false">PivotTables!C59</f>
        <v>151846.16</v>
      </c>
      <c r="D58" s="14" t="n">
        <f aca="false">PivotTables!D59</f>
        <v>6069.81</v>
      </c>
      <c r="E58" s="15" t="n">
        <f aca="false">PivotTables!E59</f>
        <v>0.0399734178328909</v>
      </c>
    </row>
    <row r="59" customFormat="false" ht="15" hidden="false" customHeight="false" outlineLevel="0" collapsed="false">
      <c r="A59" s="13" t="str">
        <f aca="false">PivotTables!A60</f>
        <v>Phones</v>
      </c>
      <c r="B59" s="13" t="str">
        <f aca="false">PivotTables!B60</f>
        <v>Technology</v>
      </c>
      <c r="C59" s="14" t="n">
        <f aca="false">PivotTables!C60</f>
        <v>7501072.44</v>
      </c>
      <c r="D59" s="14" t="n">
        <f aca="false">PivotTables!D60</f>
        <v>192854.79</v>
      </c>
      <c r="E59" s="15" t="n">
        <f aca="false">PivotTables!E60</f>
        <v>0.0257102956334068</v>
      </c>
    </row>
    <row r="60" customFormat="false" ht="15" hidden="false" customHeight="false" outlineLevel="0" collapsed="false">
      <c r="A60" s="13" t="str">
        <f aca="false">PivotTables!A61</f>
        <v>Storage</v>
      </c>
      <c r="B60" s="13" t="str">
        <f aca="false">PivotTables!B61</f>
        <v>Office Supplies</v>
      </c>
      <c r="C60" s="14" t="n">
        <f aca="false">PivotTables!C61</f>
        <v>179082.98</v>
      </c>
      <c r="D60" s="14" t="n">
        <f aca="false">PivotTables!D61</f>
        <v>7285.08</v>
      </c>
      <c r="E60" s="15" t="n">
        <f aca="false">PivotTables!E61</f>
        <v>0.0406799127421266</v>
      </c>
    </row>
    <row r="61" customFormat="false" ht="15" hidden="false" customHeight="false" outlineLevel="0" collapsed="false">
      <c r="A61" s="13" t="str">
        <f aca="false">PivotTables!A62</f>
        <v>Tables</v>
      </c>
      <c r="B61" s="13" t="str">
        <f aca="false">PivotTables!B62</f>
        <v>Furniture</v>
      </c>
      <c r="C61" s="14" t="n">
        <f aca="false">PivotTables!C62</f>
        <v>2205539.15</v>
      </c>
      <c r="D61" s="14" t="n">
        <f aca="false">PivotTables!D62</f>
        <v>125606.58</v>
      </c>
      <c r="E61" s="15" t="n">
        <f aca="false">PivotTables!E62</f>
        <v>0.056950510264123</v>
      </c>
    </row>
  </sheetData>
  <mergeCells count="12">
    <mergeCell ref="A1:L2"/>
    <mergeCell ref="A3:L3"/>
    <mergeCell ref="A5:C5"/>
    <mergeCell ref="D5:F5"/>
    <mergeCell ref="G5:I5"/>
    <mergeCell ref="J5:L5"/>
    <mergeCell ref="A6:C7"/>
    <mergeCell ref="D6:F7"/>
    <mergeCell ref="G6:I7"/>
    <mergeCell ref="J6:L7"/>
    <mergeCell ref="A9:L9"/>
    <mergeCell ref="A45:L45"/>
  </mergeCells>
  <conditionalFormatting sqref="D48:D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8:E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9"/>
    <col collapsed="false" customWidth="true" hidden="false" outlineLevel="0" max="13" min="12" style="0" width="14"/>
  </cols>
  <sheetData>
    <row r="1" customFormat="false" ht="15" hidden="false" customHeight="false" outlineLevel="0" collapsed="false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9</v>
      </c>
      <c r="I1" s="12" t="s">
        <v>8</v>
      </c>
      <c r="J1" s="12" t="s">
        <v>20</v>
      </c>
      <c r="K1" s="12" t="s">
        <v>21</v>
      </c>
      <c r="L1" s="12" t="s">
        <v>22</v>
      </c>
      <c r="M1" s="12" t="s">
        <v>23</v>
      </c>
    </row>
    <row r="2" customFormat="false" ht="15" hidden="false" customHeight="false" outlineLevel="0" collapsed="false">
      <c r="A2" s="16" t="s">
        <v>24</v>
      </c>
      <c r="B2" s="17" t="n">
        <v>45946</v>
      </c>
      <c r="C2" s="17" t="n">
        <v>45947</v>
      </c>
      <c r="D2" s="16" t="s">
        <v>25</v>
      </c>
      <c r="E2" s="16" t="s">
        <v>26</v>
      </c>
      <c r="F2" s="16" t="s">
        <v>27</v>
      </c>
      <c r="G2" s="16" t="s">
        <v>28</v>
      </c>
      <c r="H2" s="16" t="s">
        <v>29</v>
      </c>
      <c r="I2" s="16" t="s">
        <v>30</v>
      </c>
      <c r="J2" s="16" t="n">
        <v>11</v>
      </c>
      <c r="K2" s="18" t="n">
        <v>0</v>
      </c>
      <c r="L2" s="19" t="n">
        <v>209388.94</v>
      </c>
      <c r="M2" s="19" t="n">
        <v>-48603.71</v>
      </c>
    </row>
    <row r="3" customFormat="false" ht="15" hidden="false" customHeight="false" outlineLevel="0" collapsed="false">
      <c r="A3" s="16" t="s">
        <v>31</v>
      </c>
      <c r="B3" s="17" t="n">
        <v>45515</v>
      </c>
      <c r="C3" s="17" t="n">
        <v>45517</v>
      </c>
      <c r="D3" s="16" t="s">
        <v>32</v>
      </c>
      <c r="E3" s="16" t="s">
        <v>26</v>
      </c>
      <c r="F3" s="16" t="s">
        <v>27</v>
      </c>
      <c r="G3" s="16" t="s">
        <v>33</v>
      </c>
      <c r="H3" s="16" t="s">
        <v>34</v>
      </c>
      <c r="I3" s="16" t="s">
        <v>35</v>
      </c>
      <c r="J3" s="16" t="n">
        <v>10</v>
      </c>
      <c r="K3" s="18" t="n">
        <v>0.1</v>
      </c>
      <c r="L3" s="19" t="n">
        <v>413012.08</v>
      </c>
      <c r="M3" s="19" t="n">
        <v>69750.98</v>
      </c>
    </row>
    <row r="4" customFormat="false" ht="15" hidden="false" customHeight="false" outlineLevel="0" collapsed="false">
      <c r="A4" s="16" t="s">
        <v>36</v>
      </c>
      <c r="B4" s="17" t="n">
        <v>45640</v>
      </c>
      <c r="C4" s="17" t="n">
        <v>45643</v>
      </c>
      <c r="D4" s="16" t="s">
        <v>32</v>
      </c>
      <c r="E4" s="16" t="s">
        <v>26</v>
      </c>
      <c r="F4" s="16" t="s">
        <v>37</v>
      </c>
      <c r="G4" s="16" t="s">
        <v>38</v>
      </c>
      <c r="H4" s="16" t="s">
        <v>29</v>
      </c>
      <c r="I4" s="16" t="s">
        <v>39</v>
      </c>
      <c r="J4" s="16" t="n">
        <v>2</v>
      </c>
      <c r="K4" s="18" t="n">
        <v>0</v>
      </c>
      <c r="L4" s="19" t="n">
        <v>20513.05</v>
      </c>
      <c r="M4" s="19" t="n">
        <v>3853.15</v>
      </c>
    </row>
    <row r="5" customFormat="false" ht="15" hidden="false" customHeight="false" outlineLevel="0" collapsed="false">
      <c r="A5" s="16" t="s">
        <v>40</v>
      </c>
      <c r="B5" s="17" t="n">
        <v>45841</v>
      </c>
      <c r="C5" s="17" t="n">
        <v>45842</v>
      </c>
      <c r="D5" s="16" t="s">
        <v>41</v>
      </c>
      <c r="E5" s="16" t="s">
        <v>42</v>
      </c>
      <c r="F5" s="16" t="s">
        <v>37</v>
      </c>
      <c r="G5" s="16" t="s">
        <v>43</v>
      </c>
      <c r="H5" s="16" t="s">
        <v>44</v>
      </c>
      <c r="I5" s="16" t="s">
        <v>45</v>
      </c>
      <c r="J5" s="16" t="n">
        <v>12</v>
      </c>
      <c r="K5" s="18" t="n">
        <v>0</v>
      </c>
      <c r="L5" s="19" t="n">
        <v>24211.96</v>
      </c>
      <c r="M5" s="19" t="n">
        <v>6372.36</v>
      </c>
    </row>
    <row r="6" customFormat="false" ht="15" hidden="false" customHeight="false" outlineLevel="0" collapsed="false">
      <c r="A6" s="16" t="s">
        <v>46</v>
      </c>
      <c r="B6" s="17" t="n">
        <v>45395</v>
      </c>
      <c r="C6" s="17" t="n">
        <v>45399</v>
      </c>
      <c r="D6" s="16" t="s">
        <v>47</v>
      </c>
      <c r="E6" s="16" t="s">
        <v>48</v>
      </c>
      <c r="F6" s="16" t="s">
        <v>37</v>
      </c>
      <c r="G6" s="16" t="s">
        <v>49</v>
      </c>
      <c r="H6" s="16" t="s">
        <v>44</v>
      </c>
      <c r="I6" s="16" t="s">
        <v>50</v>
      </c>
      <c r="J6" s="16" t="n">
        <v>4</v>
      </c>
      <c r="K6" s="18" t="n">
        <v>0</v>
      </c>
      <c r="L6" s="19" t="n">
        <v>8541.12</v>
      </c>
      <c r="M6" s="19" t="n">
        <v>986.32</v>
      </c>
    </row>
    <row r="7" customFormat="false" ht="15" hidden="false" customHeight="false" outlineLevel="0" collapsed="false">
      <c r="A7" s="16" t="s">
        <v>51</v>
      </c>
      <c r="B7" s="17" t="n">
        <v>45467</v>
      </c>
      <c r="C7" s="17" t="n">
        <v>45472</v>
      </c>
      <c r="D7" s="16" t="s">
        <v>47</v>
      </c>
      <c r="E7" s="16" t="s">
        <v>48</v>
      </c>
      <c r="F7" s="16" t="s">
        <v>27</v>
      </c>
      <c r="G7" s="16" t="s">
        <v>33</v>
      </c>
      <c r="H7" s="16" t="s">
        <v>34</v>
      </c>
      <c r="I7" s="16" t="s">
        <v>52</v>
      </c>
      <c r="J7" s="16" t="n">
        <v>11</v>
      </c>
      <c r="K7" s="18" t="n">
        <v>0</v>
      </c>
      <c r="L7" s="19" t="n">
        <v>225175.94</v>
      </c>
      <c r="M7" s="19" t="n">
        <v>-25348.32</v>
      </c>
    </row>
    <row r="8" customFormat="false" ht="15" hidden="false" customHeight="false" outlineLevel="0" collapsed="false">
      <c r="A8" s="16" t="s">
        <v>53</v>
      </c>
      <c r="B8" s="17" t="n">
        <v>45324</v>
      </c>
      <c r="C8" s="17" t="n">
        <v>45331</v>
      </c>
      <c r="D8" s="16" t="s">
        <v>47</v>
      </c>
      <c r="E8" s="16" t="s">
        <v>26</v>
      </c>
      <c r="F8" s="16" t="s">
        <v>37</v>
      </c>
      <c r="G8" s="16" t="s">
        <v>38</v>
      </c>
      <c r="H8" s="16" t="s">
        <v>44</v>
      </c>
      <c r="I8" s="16" t="s">
        <v>50</v>
      </c>
      <c r="J8" s="16" t="n">
        <v>4</v>
      </c>
      <c r="K8" s="18" t="n">
        <v>0.5</v>
      </c>
      <c r="L8" s="19" t="n">
        <v>2494.67</v>
      </c>
      <c r="M8" s="19" t="n">
        <v>-409.82</v>
      </c>
    </row>
    <row r="9" customFormat="false" ht="15" hidden="false" customHeight="false" outlineLevel="0" collapsed="false">
      <c r="A9" s="16" t="s">
        <v>54</v>
      </c>
      <c r="B9" s="17" t="n">
        <v>45434</v>
      </c>
      <c r="C9" s="17" t="n">
        <v>45436</v>
      </c>
      <c r="D9" s="16" t="s">
        <v>41</v>
      </c>
      <c r="E9" s="16" t="s">
        <v>48</v>
      </c>
      <c r="F9" s="16" t="s">
        <v>55</v>
      </c>
      <c r="G9" s="16" t="s">
        <v>56</v>
      </c>
      <c r="H9" s="16" t="s">
        <v>34</v>
      </c>
      <c r="I9" s="16" t="s">
        <v>57</v>
      </c>
      <c r="J9" s="16" t="n">
        <v>3</v>
      </c>
      <c r="K9" s="18" t="n">
        <v>0</v>
      </c>
      <c r="L9" s="19" t="n">
        <v>12768.92</v>
      </c>
      <c r="M9" s="19" t="n">
        <v>-2021.26</v>
      </c>
    </row>
    <row r="10" customFormat="false" ht="15" hidden="false" customHeight="false" outlineLevel="0" collapsed="false">
      <c r="A10" s="16" t="s">
        <v>58</v>
      </c>
      <c r="B10" s="17" t="n">
        <v>45455</v>
      </c>
      <c r="C10" s="17" t="n">
        <v>45462</v>
      </c>
      <c r="D10" s="16" t="s">
        <v>32</v>
      </c>
      <c r="E10" s="16" t="s">
        <v>48</v>
      </c>
      <c r="F10" s="16" t="s">
        <v>59</v>
      </c>
      <c r="G10" s="16" t="s">
        <v>60</v>
      </c>
      <c r="H10" s="16" t="s">
        <v>34</v>
      </c>
      <c r="I10" s="16" t="s">
        <v>61</v>
      </c>
      <c r="J10" s="16" t="n">
        <v>9</v>
      </c>
      <c r="K10" s="18" t="n">
        <v>0</v>
      </c>
      <c r="L10" s="19" t="n">
        <v>509689.85</v>
      </c>
      <c r="M10" s="19" t="n">
        <v>81054.05</v>
      </c>
    </row>
    <row r="11" customFormat="false" ht="15" hidden="false" customHeight="false" outlineLevel="0" collapsed="false">
      <c r="A11" s="16" t="s">
        <v>62</v>
      </c>
      <c r="B11" s="17" t="n">
        <v>45841</v>
      </c>
      <c r="C11" s="17" t="n">
        <v>45848</v>
      </c>
      <c r="D11" s="16" t="s">
        <v>32</v>
      </c>
      <c r="E11" s="16" t="s">
        <v>48</v>
      </c>
      <c r="F11" s="16" t="s">
        <v>37</v>
      </c>
      <c r="G11" s="16" t="s">
        <v>38</v>
      </c>
      <c r="H11" s="16" t="s">
        <v>44</v>
      </c>
      <c r="I11" s="16" t="s">
        <v>63</v>
      </c>
      <c r="J11" s="16" t="n">
        <v>3</v>
      </c>
      <c r="K11" s="18" t="n">
        <v>0.2</v>
      </c>
      <c r="L11" s="19" t="n">
        <v>6878.56</v>
      </c>
      <c r="M11" s="19" t="n">
        <v>2291.47</v>
      </c>
    </row>
    <row r="12" customFormat="false" ht="15" hidden="false" customHeight="false" outlineLevel="0" collapsed="false">
      <c r="A12" s="16" t="s">
        <v>64</v>
      </c>
      <c r="B12" s="17" t="n">
        <v>45474</v>
      </c>
      <c r="C12" s="17" t="n">
        <v>45479</v>
      </c>
      <c r="D12" s="16" t="s">
        <v>41</v>
      </c>
      <c r="E12" s="16" t="s">
        <v>48</v>
      </c>
      <c r="F12" s="16" t="s">
        <v>27</v>
      </c>
      <c r="G12" s="16" t="s">
        <v>28</v>
      </c>
      <c r="H12" s="16" t="s">
        <v>29</v>
      </c>
      <c r="I12" s="16" t="s">
        <v>30</v>
      </c>
      <c r="J12" s="16" t="n">
        <v>9</v>
      </c>
      <c r="K12" s="18" t="n">
        <v>0.3</v>
      </c>
      <c r="L12" s="19" t="n">
        <v>150762.11</v>
      </c>
      <c r="M12" s="19" t="n">
        <v>6507.41</v>
      </c>
    </row>
    <row r="13" customFormat="false" ht="15" hidden="false" customHeight="false" outlineLevel="0" collapsed="false">
      <c r="A13" s="16" t="s">
        <v>65</v>
      </c>
      <c r="B13" s="17" t="n">
        <v>45406</v>
      </c>
      <c r="C13" s="17" t="n">
        <v>45409</v>
      </c>
      <c r="D13" s="16" t="s">
        <v>25</v>
      </c>
      <c r="E13" s="16" t="s">
        <v>42</v>
      </c>
      <c r="F13" s="16" t="s">
        <v>59</v>
      </c>
      <c r="G13" s="16" t="s">
        <v>66</v>
      </c>
      <c r="H13" s="16" t="s">
        <v>44</v>
      </c>
      <c r="I13" s="16" t="s">
        <v>67</v>
      </c>
      <c r="J13" s="16" t="n">
        <v>2</v>
      </c>
      <c r="K13" s="18" t="n">
        <v>0.1</v>
      </c>
      <c r="L13" s="19" t="n">
        <v>4439.64</v>
      </c>
      <c r="M13" s="19" t="n">
        <v>-767.9</v>
      </c>
    </row>
    <row r="14" customFormat="false" ht="15" hidden="false" customHeight="false" outlineLevel="0" collapsed="false">
      <c r="A14" s="16" t="s">
        <v>68</v>
      </c>
      <c r="B14" s="17" t="n">
        <v>45778</v>
      </c>
      <c r="C14" s="17" t="n">
        <v>45783</v>
      </c>
      <c r="D14" s="16" t="s">
        <v>41</v>
      </c>
      <c r="E14" s="16" t="s">
        <v>42</v>
      </c>
      <c r="F14" s="16" t="s">
        <v>55</v>
      </c>
      <c r="G14" s="16" t="s">
        <v>69</v>
      </c>
      <c r="H14" s="16" t="s">
        <v>29</v>
      </c>
      <c r="I14" s="16" t="s">
        <v>30</v>
      </c>
      <c r="J14" s="16" t="n">
        <v>12</v>
      </c>
      <c r="K14" s="18" t="n">
        <v>0.5</v>
      </c>
      <c r="L14" s="19" t="n">
        <v>55016.85</v>
      </c>
      <c r="M14" s="19" t="n">
        <v>15942.15</v>
      </c>
    </row>
    <row r="15" customFormat="false" ht="15" hidden="false" customHeight="false" outlineLevel="0" collapsed="false">
      <c r="A15" s="16" t="s">
        <v>70</v>
      </c>
      <c r="B15" s="17" t="n">
        <v>45754</v>
      </c>
      <c r="C15" s="17" t="n">
        <v>45755</v>
      </c>
      <c r="D15" s="16" t="s">
        <v>41</v>
      </c>
      <c r="E15" s="16" t="s">
        <v>26</v>
      </c>
      <c r="F15" s="16" t="s">
        <v>59</v>
      </c>
      <c r="G15" s="16" t="s">
        <v>71</v>
      </c>
      <c r="H15" s="16" t="s">
        <v>29</v>
      </c>
      <c r="I15" s="16" t="s">
        <v>39</v>
      </c>
      <c r="J15" s="16" t="n">
        <v>10</v>
      </c>
      <c r="K15" s="18" t="n">
        <v>0.15</v>
      </c>
      <c r="L15" s="19" t="n">
        <v>60052.5</v>
      </c>
      <c r="M15" s="19" t="n">
        <v>-12584.59</v>
      </c>
    </row>
    <row r="16" customFormat="false" ht="15" hidden="false" customHeight="false" outlineLevel="0" collapsed="false">
      <c r="A16" s="16" t="s">
        <v>72</v>
      </c>
      <c r="B16" s="17" t="n">
        <v>45324</v>
      </c>
      <c r="C16" s="17" t="n">
        <v>45331</v>
      </c>
      <c r="D16" s="16" t="s">
        <v>32</v>
      </c>
      <c r="E16" s="16" t="s">
        <v>42</v>
      </c>
      <c r="F16" s="16" t="s">
        <v>27</v>
      </c>
      <c r="G16" s="16" t="s">
        <v>73</v>
      </c>
      <c r="H16" s="16" t="s">
        <v>44</v>
      </c>
      <c r="I16" s="16" t="s">
        <v>45</v>
      </c>
      <c r="J16" s="16" t="n">
        <v>4</v>
      </c>
      <c r="K16" s="18" t="n">
        <v>0.5</v>
      </c>
      <c r="L16" s="19" t="n">
        <v>4395.44</v>
      </c>
      <c r="M16" s="19" t="n">
        <v>-458.01</v>
      </c>
    </row>
    <row r="17" customFormat="false" ht="15" hidden="false" customHeight="false" outlineLevel="0" collapsed="false">
      <c r="A17" s="16" t="s">
        <v>74</v>
      </c>
      <c r="B17" s="17" t="n">
        <v>45776</v>
      </c>
      <c r="C17" s="17" t="n">
        <v>45783</v>
      </c>
      <c r="D17" s="16" t="s">
        <v>32</v>
      </c>
      <c r="E17" s="16" t="s">
        <v>42</v>
      </c>
      <c r="F17" s="16" t="s">
        <v>59</v>
      </c>
      <c r="G17" s="16" t="s">
        <v>75</v>
      </c>
      <c r="H17" s="16" t="s">
        <v>44</v>
      </c>
      <c r="I17" s="16" t="s">
        <v>67</v>
      </c>
      <c r="J17" s="16" t="n">
        <v>6</v>
      </c>
      <c r="K17" s="18" t="n">
        <v>0</v>
      </c>
      <c r="L17" s="19" t="n">
        <v>8726.23</v>
      </c>
      <c r="M17" s="19" t="n">
        <v>-1864.21</v>
      </c>
    </row>
    <row r="18" customFormat="false" ht="15" hidden="false" customHeight="false" outlineLevel="0" collapsed="false">
      <c r="A18" s="16" t="s">
        <v>76</v>
      </c>
      <c r="B18" s="17" t="n">
        <v>45639</v>
      </c>
      <c r="C18" s="17" t="n">
        <v>45646</v>
      </c>
      <c r="D18" s="16" t="s">
        <v>32</v>
      </c>
      <c r="E18" s="16" t="s">
        <v>42</v>
      </c>
      <c r="F18" s="16" t="s">
        <v>27</v>
      </c>
      <c r="G18" s="16" t="s">
        <v>28</v>
      </c>
      <c r="H18" s="16" t="s">
        <v>29</v>
      </c>
      <c r="I18" s="16" t="s">
        <v>39</v>
      </c>
      <c r="J18" s="16" t="n">
        <v>3</v>
      </c>
      <c r="K18" s="18" t="n">
        <v>0</v>
      </c>
      <c r="L18" s="19" t="n">
        <v>35109.83</v>
      </c>
      <c r="M18" s="19" t="n">
        <v>557.49</v>
      </c>
    </row>
    <row r="19" customFormat="false" ht="15" hidden="false" customHeight="false" outlineLevel="0" collapsed="false">
      <c r="A19" s="16" t="s">
        <v>77</v>
      </c>
      <c r="B19" s="17" t="n">
        <v>45855</v>
      </c>
      <c r="C19" s="17" t="n">
        <v>45856</v>
      </c>
      <c r="D19" s="16" t="s">
        <v>32</v>
      </c>
      <c r="E19" s="16" t="s">
        <v>26</v>
      </c>
      <c r="F19" s="16" t="s">
        <v>59</v>
      </c>
      <c r="G19" s="16" t="s">
        <v>66</v>
      </c>
      <c r="H19" s="16" t="s">
        <v>29</v>
      </c>
      <c r="I19" s="16" t="s">
        <v>78</v>
      </c>
      <c r="J19" s="16" t="n">
        <v>8</v>
      </c>
      <c r="K19" s="18" t="n">
        <v>0.1</v>
      </c>
      <c r="L19" s="19" t="n">
        <v>94112.95</v>
      </c>
      <c r="M19" s="19" t="n">
        <v>-2128.47</v>
      </c>
    </row>
    <row r="20" customFormat="false" ht="15" hidden="false" customHeight="false" outlineLevel="0" collapsed="false">
      <c r="A20" s="16" t="s">
        <v>79</v>
      </c>
      <c r="B20" s="17" t="n">
        <v>45691</v>
      </c>
      <c r="C20" s="17" t="n">
        <v>45694</v>
      </c>
      <c r="D20" s="16" t="s">
        <v>41</v>
      </c>
      <c r="E20" s="16" t="s">
        <v>26</v>
      </c>
      <c r="F20" s="16" t="s">
        <v>55</v>
      </c>
      <c r="G20" s="16" t="s">
        <v>56</v>
      </c>
      <c r="H20" s="16" t="s">
        <v>44</v>
      </c>
      <c r="I20" s="16" t="s">
        <v>80</v>
      </c>
      <c r="J20" s="16" t="n">
        <v>5</v>
      </c>
      <c r="K20" s="18" t="n">
        <v>0</v>
      </c>
      <c r="L20" s="19" t="n">
        <v>1348.01</v>
      </c>
      <c r="M20" s="19" t="n">
        <v>267.96</v>
      </c>
    </row>
    <row r="21" customFormat="false" ht="15" hidden="false" customHeight="false" outlineLevel="0" collapsed="false">
      <c r="A21" s="16" t="s">
        <v>81</v>
      </c>
      <c r="B21" s="17" t="n">
        <v>45350</v>
      </c>
      <c r="C21" s="17" t="n">
        <v>45351</v>
      </c>
      <c r="D21" s="16" t="s">
        <v>25</v>
      </c>
      <c r="E21" s="16" t="s">
        <v>42</v>
      </c>
      <c r="F21" s="16" t="s">
        <v>27</v>
      </c>
      <c r="G21" s="16" t="s">
        <v>82</v>
      </c>
      <c r="H21" s="16" t="s">
        <v>34</v>
      </c>
      <c r="I21" s="16" t="s">
        <v>61</v>
      </c>
      <c r="J21" s="16" t="n">
        <v>3</v>
      </c>
      <c r="K21" s="18" t="n">
        <v>0.4</v>
      </c>
      <c r="L21" s="19" t="n">
        <v>93449.56</v>
      </c>
      <c r="M21" s="19" t="n">
        <v>-16640.38</v>
      </c>
    </row>
    <row r="22" customFormat="false" ht="15" hidden="false" customHeight="false" outlineLevel="0" collapsed="false">
      <c r="A22" s="16" t="s">
        <v>83</v>
      </c>
      <c r="B22" s="17" t="n">
        <v>45875</v>
      </c>
      <c r="C22" s="17" t="n">
        <v>45877</v>
      </c>
      <c r="D22" s="16" t="s">
        <v>47</v>
      </c>
      <c r="E22" s="16" t="s">
        <v>42</v>
      </c>
      <c r="F22" s="16" t="s">
        <v>59</v>
      </c>
      <c r="G22" s="16" t="s">
        <v>60</v>
      </c>
      <c r="H22" s="16" t="s">
        <v>34</v>
      </c>
      <c r="I22" s="16" t="s">
        <v>35</v>
      </c>
      <c r="J22" s="16" t="n">
        <v>5</v>
      </c>
      <c r="K22" s="18" t="n">
        <v>0.4</v>
      </c>
      <c r="L22" s="19" t="n">
        <v>46389.38</v>
      </c>
      <c r="M22" s="19" t="n">
        <v>-7954.53</v>
      </c>
    </row>
    <row r="23" customFormat="false" ht="15" hidden="false" customHeight="false" outlineLevel="0" collapsed="false">
      <c r="A23" s="16" t="s">
        <v>84</v>
      </c>
      <c r="B23" s="17" t="n">
        <v>45952</v>
      </c>
      <c r="C23" s="17" t="n">
        <v>45955</v>
      </c>
      <c r="D23" s="16" t="s">
        <v>25</v>
      </c>
      <c r="E23" s="16" t="s">
        <v>48</v>
      </c>
      <c r="F23" s="16" t="s">
        <v>59</v>
      </c>
      <c r="G23" s="16" t="s">
        <v>75</v>
      </c>
      <c r="H23" s="16" t="s">
        <v>44</v>
      </c>
      <c r="I23" s="16" t="s">
        <v>80</v>
      </c>
      <c r="J23" s="16" t="n">
        <v>2</v>
      </c>
      <c r="K23" s="18" t="n">
        <v>0.3</v>
      </c>
      <c r="L23" s="19" t="n">
        <v>2193.89</v>
      </c>
      <c r="M23" s="19" t="n">
        <v>611.04</v>
      </c>
    </row>
    <row r="24" customFormat="false" ht="15" hidden="false" customHeight="false" outlineLevel="0" collapsed="false">
      <c r="A24" s="16" t="s">
        <v>85</v>
      </c>
      <c r="B24" s="17" t="n">
        <v>45542</v>
      </c>
      <c r="C24" s="17" t="n">
        <v>45545</v>
      </c>
      <c r="D24" s="16" t="s">
        <v>25</v>
      </c>
      <c r="E24" s="16" t="s">
        <v>42</v>
      </c>
      <c r="F24" s="16" t="s">
        <v>55</v>
      </c>
      <c r="G24" s="16" t="s">
        <v>86</v>
      </c>
      <c r="H24" s="16" t="s">
        <v>44</v>
      </c>
      <c r="I24" s="16" t="s">
        <v>67</v>
      </c>
      <c r="J24" s="16" t="n">
        <v>11</v>
      </c>
      <c r="K24" s="18" t="n">
        <v>0.1</v>
      </c>
      <c r="L24" s="19" t="n">
        <v>9585.16</v>
      </c>
      <c r="M24" s="19" t="n">
        <v>-875.32</v>
      </c>
    </row>
    <row r="25" customFormat="false" ht="15" hidden="false" customHeight="false" outlineLevel="0" collapsed="false">
      <c r="A25" s="16" t="s">
        <v>87</v>
      </c>
      <c r="B25" s="17" t="n">
        <v>45401</v>
      </c>
      <c r="C25" s="17" t="n">
        <v>45407</v>
      </c>
      <c r="D25" s="16" t="s">
        <v>41</v>
      </c>
      <c r="E25" s="16" t="s">
        <v>42</v>
      </c>
      <c r="F25" s="16" t="s">
        <v>37</v>
      </c>
      <c r="G25" s="16" t="s">
        <v>43</v>
      </c>
      <c r="H25" s="16" t="s">
        <v>34</v>
      </c>
      <c r="I25" s="16" t="s">
        <v>52</v>
      </c>
      <c r="J25" s="16" t="n">
        <v>12</v>
      </c>
      <c r="K25" s="18" t="n">
        <v>0.5</v>
      </c>
      <c r="L25" s="19" t="n">
        <v>308372.4</v>
      </c>
      <c r="M25" s="19" t="n">
        <v>-30629.78</v>
      </c>
    </row>
    <row r="26" customFormat="false" ht="15" hidden="false" customHeight="false" outlineLevel="0" collapsed="false">
      <c r="A26" s="16" t="s">
        <v>88</v>
      </c>
      <c r="B26" s="17" t="n">
        <v>45344</v>
      </c>
      <c r="C26" s="17" t="n">
        <v>45345</v>
      </c>
      <c r="D26" s="16" t="s">
        <v>47</v>
      </c>
      <c r="E26" s="16" t="s">
        <v>26</v>
      </c>
      <c r="F26" s="16" t="s">
        <v>37</v>
      </c>
      <c r="G26" s="16" t="s">
        <v>38</v>
      </c>
      <c r="H26" s="16" t="s">
        <v>34</v>
      </c>
      <c r="I26" s="16" t="s">
        <v>61</v>
      </c>
      <c r="J26" s="16" t="n">
        <v>3</v>
      </c>
      <c r="K26" s="18" t="n">
        <v>0.4</v>
      </c>
      <c r="L26" s="19" t="n">
        <v>80751.61</v>
      </c>
      <c r="M26" s="19" t="n">
        <v>6988.58</v>
      </c>
    </row>
    <row r="27" customFormat="false" ht="15" hidden="false" customHeight="false" outlineLevel="0" collapsed="false">
      <c r="A27" s="16" t="s">
        <v>89</v>
      </c>
      <c r="B27" s="17" t="n">
        <v>45406</v>
      </c>
      <c r="C27" s="17" t="n">
        <v>45407</v>
      </c>
      <c r="D27" s="16" t="s">
        <v>41</v>
      </c>
      <c r="E27" s="16" t="s">
        <v>42</v>
      </c>
      <c r="F27" s="16" t="s">
        <v>59</v>
      </c>
      <c r="G27" s="16" t="s">
        <v>71</v>
      </c>
      <c r="H27" s="16" t="s">
        <v>34</v>
      </c>
      <c r="I27" s="16" t="s">
        <v>52</v>
      </c>
      <c r="J27" s="16" t="n">
        <v>7</v>
      </c>
      <c r="K27" s="18" t="n">
        <v>0</v>
      </c>
      <c r="L27" s="19" t="n">
        <v>378632.92</v>
      </c>
      <c r="M27" s="19" t="n">
        <v>109559.25</v>
      </c>
    </row>
    <row r="28" customFormat="false" ht="15" hidden="false" customHeight="false" outlineLevel="0" collapsed="false">
      <c r="A28" s="16" t="s">
        <v>90</v>
      </c>
      <c r="B28" s="17" t="n">
        <v>45507</v>
      </c>
      <c r="C28" s="17" t="n">
        <v>45513</v>
      </c>
      <c r="D28" s="16" t="s">
        <v>41</v>
      </c>
      <c r="E28" s="16" t="s">
        <v>42</v>
      </c>
      <c r="F28" s="16" t="s">
        <v>37</v>
      </c>
      <c r="G28" s="16" t="s">
        <v>91</v>
      </c>
      <c r="H28" s="16" t="s">
        <v>29</v>
      </c>
      <c r="I28" s="16" t="s">
        <v>78</v>
      </c>
      <c r="J28" s="16" t="n">
        <v>4</v>
      </c>
      <c r="K28" s="18" t="n">
        <v>0.4</v>
      </c>
      <c r="L28" s="19" t="n">
        <v>52526.23</v>
      </c>
      <c r="M28" s="19" t="n">
        <v>-12350.4</v>
      </c>
    </row>
    <row r="29" customFormat="false" ht="15" hidden="false" customHeight="false" outlineLevel="0" collapsed="false">
      <c r="A29" s="16" t="s">
        <v>92</v>
      </c>
      <c r="B29" s="17" t="n">
        <v>45632</v>
      </c>
      <c r="C29" s="17" t="n">
        <v>45639</v>
      </c>
      <c r="D29" s="16" t="s">
        <v>25</v>
      </c>
      <c r="E29" s="16" t="s">
        <v>26</v>
      </c>
      <c r="F29" s="16" t="s">
        <v>27</v>
      </c>
      <c r="G29" s="16" t="s">
        <v>73</v>
      </c>
      <c r="H29" s="16" t="s">
        <v>44</v>
      </c>
      <c r="I29" s="16" t="s">
        <v>63</v>
      </c>
      <c r="J29" s="16" t="n">
        <v>7</v>
      </c>
      <c r="K29" s="18" t="n">
        <v>0.5</v>
      </c>
      <c r="L29" s="19" t="n">
        <v>9064.72</v>
      </c>
      <c r="M29" s="19" t="n">
        <v>-364.45</v>
      </c>
    </row>
    <row r="30" customFormat="false" ht="15" hidden="false" customHeight="false" outlineLevel="0" collapsed="false">
      <c r="A30" s="16" t="s">
        <v>93</v>
      </c>
      <c r="B30" s="17" t="n">
        <v>45525</v>
      </c>
      <c r="C30" s="17" t="n">
        <v>45527</v>
      </c>
      <c r="D30" s="16" t="s">
        <v>25</v>
      </c>
      <c r="E30" s="16" t="s">
        <v>48</v>
      </c>
      <c r="F30" s="16" t="s">
        <v>55</v>
      </c>
      <c r="G30" s="16" t="s">
        <v>86</v>
      </c>
      <c r="H30" s="16" t="s">
        <v>29</v>
      </c>
      <c r="I30" s="16" t="s">
        <v>39</v>
      </c>
      <c r="J30" s="16" t="n">
        <v>5</v>
      </c>
      <c r="K30" s="18" t="n">
        <v>0.3</v>
      </c>
      <c r="L30" s="19" t="n">
        <v>35267.26</v>
      </c>
      <c r="M30" s="19" t="n">
        <v>11057.78</v>
      </c>
    </row>
    <row r="31" customFormat="false" ht="15" hidden="false" customHeight="false" outlineLevel="0" collapsed="false">
      <c r="A31" s="16" t="s">
        <v>94</v>
      </c>
      <c r="B31" s="17" t="n">
        <v>45410</v>
      </c>
      <c r="C31" s="17" t="n">
        <v>45413</v>
      </c>
      <c r="D31" s="16" t="s">
        <v>32</v>
      </c>
      <c r="E31" s="16" t="s">
        <v>42</v>
      </c>
      <c r="F31" s="16" t="s">
        <v>59</v>
      </c>
      <c r="G31" s="16" t="s">
        <v>75</v>
      </c>
      <c r="H31" s="16" t="s">
        <v>29</v>
      </c>
      <c r="I31" s="16" t="s">
        <v>30</v>
      </c>
      <c r="J31" s="16" t="n">
        <v>6</v>
      </c>
      <c r="K31" s="18" t="n">
        <v>0</v>
      </c>
      <c r="L31" s="19" t="n">
        <v>112539.22</v>
      </c>
      <c r="M31" s="19" t="n">
        <v>-2125.05</v>
      </c>
    </row>
    <row r="32" customFormat="false" ht="15" hidden="false" customHeight="false" outlineLevel="0" collapsed="false">
      <c r="A32" s="16" t="s">
        <v>95</v>
      </c>
      <c r="B32" s="17" t="n">
        <v>45882</v>
      </c>
      <c r="C32" s="17" t="n">
        <v>45884</v>
      </c>
      <c r="D32" s="16" t="s">
        <v>41</v>
      </c>
      <c r="E32" s="16" t="s">
        <v>42</v>
      </c>
      <c r="F32" s="16" t="s">
        <v>55</v>
      </c>
      <c r="G32" s="16" t="s">
        <v>96</v>
      </c>
      <c r="H32" s="16" t="s">
        <v>44</v>
      </c>
      <c r="I32" s="16" t="s">
        <v>45</v>
      </c>
      <c r="J32" s="16" t="n">
        <v>6</v>
      </c>
      <c r="K32" s="18" t="n">
        <v>0.3</v>
      </c>
      <c r="L32" s="19" t="n">
        <v>11977.29</v>
      </c>
      <c r="M32" s="19" t="n">
        <v>1773.03</v>
      </c>
    </row>
    <row r="33" customFormat="false" ht="15" hidden="false" customHeight="false" outlineLevel="0" collapsed="false">
      <c r="A33" s="16" t="s">
        <v>97</v>
      </c>
      <c r="B33" s="17" t="n">
        <v>45419</v>
      </c>
      <c r="C33" s="17" t="n">
        <v>45425</v>
      </c>
      <c r="D33" s="16" t="s">
        <v>32</v>
      </c>
      <c r="E33" s="16" t="s">
        <v>48</v>
      </c>
      <c r="F33" s="16" t="s">
        <v>37</v>
      </c>
      <c r="G33" s="16" t="s">
        <v>91</v>
      </c>
      <c r="H33" s="16" t="s">
        <v>44</v>
      </c>
      <c r="I33" s="16" t="s">
        <v>98</v>
      </c>
      <c r="J33" s="16" t="n">
        <v>12</v>
      </c>
      <c r="K33" s="18" t="n">
        <v>0.4</v>
      </c>
      <c r="L33" s="19" t="n">
        <v>3377.77</v>
      </c>
      <c r="M33" s="19" t="n">
        <v>528.25</v>
      </c>
    </row>
    <row r="34" customFormat="false" ht="15" hidden="false" customHeight="false" outlineLevel="0" collapsed="false">
      <c r="A34" s="16" t="s">
        <v>99</v>
      </c>
      <c r="B34" s="17" t="n">
        <v>45470</v>
      </c>
      <c r="C34" s="17" t="n">
        <v>45475</v>
      </c>
      <c r="D34" s="16" t="s">
        <v>47</v>
      </c>
      <c r="E34" s="16" t="s">
        <v>48</v>
      </c>
      <c r="F34" s="16" t="s">
        <v>55</v>
      </c>
      <c r="G34" s="16" t="s">
        <v>96</v>
      </c>
      <c r="H34" s="16" t="s">
        <v>34</v>
      </c>
      <c r="I34" s="16" t="s">
        <v>57</v>
      </c>
      <c r="J34" s="16" t="n">
        <v>4</v>
      </c>
      <c r="K34" s="18" t="n">
        <v>0.5</v>
      </c>
      <c r="L34" s="19" t="n">
        <v>79600.56</v>
      </c>
      <c r="M34" s="19" t="n">
        <v>1199.71</v>
      </c>
    </row>
    <row r="35" customFormat="false" ht="15" hidden="false" customHeight="false" outlineLevel="0" collapsed="false">
      <c r="A35" s="16" t="s">
        <v>100</v>
      </c>
      <c r="B35" s="17" t="n">
        <v>45983</v>
      </c>
      <c r="C35" s="17" t="n">
        <v>45985</v>
      </c>
      <c r="D35" s="16" t="s">
        <v>47</v>
      </c>
      <c r="E35" s="16" t="s">
        <v>48</v>
      </c>
      <c r="F35" s="16" t="s">
        <v>27</v>
      </c>
      <c r="G35" s="16" t="s">
        <v>82</v>
      </c>
      <c r="H35" s="16" t="s">
        <v>34</v>
      </c>
      <c r="I35" s="16" t="s">
        <v>61</v>
      </c>
      <c r="J35" s="16" t="n">
        <v>2</v>
      </c>
      <c r="K35" s="18" t="n">
        <v>0.15</v>
      </c>
      <c r="L35" s="19" t="n">
        <v>69459.53</v>
      </c>
      <c r="M35" s="19" t="n">
        <v>16249.21</v>
      </c>
    </row>
    <row r="36" customFormat="false" ht="15" hidden="false" customHeight="false" outlineLevel="0" collapsed="false">
      <c r="A36" s="16" t="s">
        <v>101</v>
      </c>
      <c r="B36" s="17" t="n">
        <v>45442</v>
      </c>
      <c r="C36" s="17" t="n">
        <v>45443</v>
      </c>
      <c r="D36" s="16" t="s">
        <v>32</v>
      </c>
      <c r="E36" s="16" t="s">
        <v>48</v>
      </c>
      <c r="F36" s="16" t="s">
        <v>55</v>
      </c>
      <c r="G36" s="16" t="s">
        <v>96</v>
      </c>
      <c r="H36" s="16" t="s">
        <v>29</v>
      </c>
      <c r="I36" s="16" t="s">
        <v>39</v>
      </c>
      <c r="J36" s="16" t="n">
        <v>11</v>
      </c>
      <c r="K36" s="18" t="n">
        <v>0.4</v>
      </c>
      <c r="L36" s="19" t="n">
        <v>100586.84</v>
      </c>
      <c r="M36" s="19" t="n">
        <v>-10421.74</v>
      </c>
    </row>
    <row r="37" customFormat="false" ht="15" hidden="false" customHeight="false" outlineLevel="0" collapsed="false">
      <c r="A37" s="16" t="s">
        <v>102</v>
      </c>
      <c r="B37" s="17" t="n">
        <v>45963</v>
      </c>
      <c r="C37" s="17" t="n">
        <v>45969</v>
      </c>
      <c r="D37" s="16" t="s">
        <v>32</v>
      </c>
      <c r="E37" s="16" t="s">
        <v>26</v>
      </c>
      <c r="F37" s="16" t="s">
        <v>55</v>
      </c>
      <c r="G37" s="16" t="s">
        <v>69</v>
      </c>
      <c r="H37" s="16" t="s">
        <v>29</v>
      </c>
      <c r="I37" s="16" t="s">
        <v>78</v>
      </c>
      <c r="J37" s="16" t="n">
        <v>1</v>
      </c>
      <c r="K37" s="18" t="n">
        <v>0.1</v>
      </c>
      <c r="L37" s="19" t="n">
        <v>13338.3</v>
      </c>
      <c r="M37" s="19" t="n">
        <v>3079.15</v>
      </c>
    </row>
    <row r="38" customFormat="false" ht="15" hidden="false" customHeight="false" outlineLevel="0" collapsed="false">
      <c r="A38" s="16" t="s">
        <v>103</v>
      </c>
      <c r="B38" s="17" t="n">
        <v>45975</v>
      </c>
      <c r="C38" s="17" t="n">
        <v>45980</v>
      </c>
      <c r="D38" s="16" t="s">
        <v>32</v>
      </c>
      <c r="E38" s="16" t="s">
        <v>42</v>
      </c>
      <c r="F38" s="16" t="s">
        <v>55</v>
      </c>
      <c r="G38" s="16" t="s">
        <v>56</v>
      </c>
      <c r="H38" s="16" t="s">
        <v>34</v>
      </c>
      <c r="I38" s="16" t="s">
        <v>57</v>
      </c>
      <c r="J38" s="16" t="n">
        <v>3</v>
      </c>
      <c r="K38" s="18" t="n">
        <v>0.15</v>
      </c>
      <c r="L38" s="19" t="n">
        <v>42489.9</v>
      </c>
      <c r="M38" s="19" t="n">
        <v>10788.94</v>
      </c>
    </row>
    <row r="39" customFormat="false" ht="15" hidden="false" customHeight="false" outlineLevel="0" collapsed="false">
      <c r="A39" s="16" t="s">
        <v>104</v>
      </c>
      <c r="B39" s="17" t="n">
        <v>45575</v>
      </c>
      <c r="C39" s="17" t="n">
        <v>45582</v>
      </c>
      <c r="D39" s="16" t="s">
        <v>25</v>
      </c>
      <c r="E39" s="16" t="s">
        <v>48</v>
      </c>
      <c r="F39" s="16" t="s">
        <v>27</v>
      </c>
      <c r="G39" s="16" t="s">
        <v>73</v>
      </c>
      <c r="H39" s="16" t="s">
        <v>34</v>
      </c>
      <c r="I39" s="16" t="s">
        <v>61</v>
      </c>
      <c r="J39" s="16" t="n">
        <v>12</v>
      </c>
      <c r="K39" s="18" t="n">
        <v>0</v>
      </c>
      <c r="L39" s="19" t="n">
        <v>242436.12</v>
      </c>
      <c r="M39" s="19" t="n">
        <v>-40480.91</v>
      </c>
    </row>
    <row r="40" customFormat="false" ht="15" hidden="false" customHeight="false" outlineLevel="0" collapsed="false">
      <c r="A40" s="16" t="s">
        <v>105</v>
      </c>
      <c r="B40" s="17" t="n">
        <v>45528</v>
      </c>
      <c r="C40" s="17" t="n">
        <v>45532</v>
      </c>
      <c r="D40" s="16" t="s">
        <v>32</v>
      </c>
      <c r="E40" s="16" t="s">
        <v>48</v>
      </c>
      <c r="F40" s="16" t="s">
        <v>27</v>
      </c>
      <c r="G40" s="16" t="s">
        <v>82</v>
      </c>
      <c r="H40" s="16" t="s">
        <v>34</v>
      </c>
      <c r="I40" s="16" t="s">
        <v>52</v>
      </c>
      <c r="J40" s="16" t="n">
        <v>6</v>
      </c>
      <c r="K40" s="18" t="n">
        <v>0.4</v>
      </c>
      <c r="L40" s="19" t="n">
        <v>48959.32</v>
      </c>
      <c r="M40" s="19" t="n">
        <v>-798.72</v>
      </c>
    </row>
    <row r="41" customFormat="false" ht="15" hidden="false" customHeight="false" outlineLevel="0" collapsed="false">
      <c r="A41" s="16" t="s">
        <v>106</v>
      </c>
      <c r="B41" s="17" t="n">
        <v>45890</v>
      </c>
      <c r="C41" s="17" t="n">
        <v>45896</v>
      </c>
      <c r="D41" s="16" t="s">
        <v>47</v>
      </c>
      <c r="E41" s="16" t="s">
        <v>48</v>
      </c>
      <c r="F41" s="16" t="s">
        <v>55</v>
      </c>
      <c r="G41" s="16" t="s">
        <v>96</v>
      </c>
      <c r="H41" s="16" t="s">
        <v>29</v>
      </c>
      <c r="I41" s="16" t="s">
        <v>107</v>
      </c>
      <c r="J41" s="16" t="n">
        <v>7</v>
      </c>
      <c r="K41" s="18" t="n">
        <v>0.15</v>
      </c>
      <c r="L41" s="19" t="n">
        <v>128694.35</v>
      </c>
      <c r="M41" s="19" t="n">
        <v>5525.84</v>
      </c>
    </row>
    <row r="42" customFormat="false" ht="15" hidden="false" customHeight="false" outlineLevel="0" collapsed="false">
      <c r="A42" s="16" t="s">
        <v>108</v>
      </c>
      <c r="B42" s="17" t="n">
        <v>45571</v>
      </c>
      <c r="C42" s="17" t="n">
        <v>45575</v>
      </c>
      <c r="D42" s="16" t="s">
        <v>32</v>
      </c>
      <c r="E42" s="16" t="s">
        <v>42</v>
      </c>
      <c r="F42" s="16" t="s">
        <v>55</v>
      </c>
      <c r="G42" s="16" t="s">
        <v>86</v>
      </c>
      <c r="H42" s="16" t="s">
        <v>44</v>
      </c>
      <c r="I42" s="16" t="s">
        <v>45</v>
      </c>
      <c r="J42" s="16" t="n">
        <v>12</v>
      </c>
      <c r="K42" s="18" t="n">
        <v>0</v>
      </c>
      <c r="L42" s="19" t="n">
        <v>17465.18</v>
      </c>
      <c r="M42" s="19" t="n">
        <v>5137.51</v>
      </c>
    </row>
    <row r="43" customFormat="false" ht="15" hidden="false" customHeight="false" outlineLevel="0" collapsed="false">
      <c r="A43" s="16" t="s">
        <v>109</v>
      </c>
      <c r="B43" s="17" t="n">
        <v>45898</v>
      </c>
      <c r="C43" s="17" t="n">
        <v>45903</v>
      </c>
      <c r="D43" s="16" t="s">
        <v>32</v>
      </c>
      <c r="E43" s="16" t="s">
        <v>26</v>
      </c>
      <c r="F43" s="16" t="s">
        <v>59</v>
      </c>
      <c r="G43" s="16" t="s">
        <v>60</v>
      </c>
      <c r="H43" s="16" t="s">
        <v>34</v>
      </c>
      <c r="I43" s="16" t="s">
        <v>35</v>
      </c>
      <c r="J43" s="16" t="n">
        <v>3</v>
      </c>
      <c r="K43" s="18" t="n">
        <v>0.3</v>
      </c>
      <c r="L43" s="19" t="n">
        <v>29152.47</v>
      </c>
      <c r="M43" s="19" t="n">
        <v>-1384.73</v>
      </c>
    </row>
    <row r="44" customFormat="false" ht="15" hidden="false" customHeight="false" outlineLevel="0" collapsed="false">
      <c r="A44" s="16" t="s">
        <v>110</v>
      </c>
      <c r="B44" s="17" t="n">
        <v>45680</v>
      </c>
      <c r="C44" s="17" t="n">
        <v>45683</v>
      </c>
      <c r="D44" s="16" t="s">
        <v>25</v>
      </c>
      <c r="E44" s="16" t="s">
        <v>26</v>
      </c>
      <c r="F44" s="16" t="s">
        <v>59</v>
      </c>
      <c r="G44" s="16" t="s">
        <v>60</v>
      </c>
      <c r="H44" s="16" t="s">
        <v>44</v>
      </c>
      <c r="I44" s="16" t="s">
        <v>80</v>
      </c>
      <c r="J44" s="16" t="n">
        <v>6</v>
      </c>
      <c r="K44" s="18" t="n">
        <v>0</v>
      </c>
      <c r="L44" s="19" t="n">
        <v>1793.96</v>
      </c>
      <c r="M44" s="19" t="n">
        <v>363.35</v>
      </c>
    </row>
    <row r="45" customFormat="false" ht="15" hidden="false" customHeight="false" outlineLevel="0" collapsed="false">
      <c r="A45" s="16" t="s">
        <v>111</v>
      </c>
      <c r="B45" s="17" t="n">
        <v>45545</v>
      </c>
      <c r="C45" s="17" t="n">
        <v>45547</v>
      </c>
      <c r="D45" s="16" t="s">
        <v>25</v>
      </c>
      <c r="E45" s="16" t="s">
        <v>48</v>
      </c>
      <c r="F45" s="16" t="s">
        <v>27</v>
      </c>
      <c r="G45" s="16" t="s">
        <v>28</v>
      </c>
      <c r="H45" s="16" t="s">
        <v>29</v>
      </c>
      <c r="I45" s="16" t="s">
        <v>39</v>
      </c>
      <c r="J45" s="16" t="n">
        <v>10</v>
      </c>
      <c r="K45" s="18" t="n">
        <v>0.3</v>
      </c>
      <c r="L45" s="19" t="n">
        <v>166588.88</v>
      </c>
      <c r="M45" s="19" t="n">
        <v>-24876.14</v>
      </c>
    </row>
    <row r="46" customFormat="false" ht="15" hidden="false" customHeight="false" outlineLevel="0" collapsed="false">
      <c r="A46" s="16" t="s">
        <v>112</v>
      </c>
      <c r="B46" s="17" t="n">
        <v>45913</v>
      </c>
      <c r="C46" s="17" t="n">
        <v>45919</v>
      </c>
      <c r="D46" s="16" t="s">
        <v>25</v>
      </c>
      <c r="E46" s="16" t="s">
        <v>26</v>
      </c>
      <c r="F46" s="16" t="s">
        <v>27</v>
      </c>
      <c r="G46" s="16" t="s">
        <v>73</v>
      </c>
      <c r="H46" s="16" t="s">
        <v>34</v>
      </c>
      <c r="I46" s="16" t="s">
        <v>35</v>
      </c>
      <c r="J46" s="16" t="n">
        <v>5</v>
      </c>
      <c r="K46" s="18" t="n">
        <v>0.15</v>
      </c>
      <c r="L46" s="19" t="n">
        <v>99685.69</v>
      </c>
      <c r="M46" s="19" t="n">
        <v>-20375.97</v>
      </c>
    </row>
    <row r="47" customFormat="false" ht="15" hidden="false" customHeight="false" outlineLevel="0" collapsed="false">
      <c r="A47" s="16" t="s">
        <v>113</v>
      </c>
      <c r="B47" s="17" t="n">
        <v>45999</v>
      </c>
      <c r="C47" s="17" t="n">
        <v>46006</v>
      </c>
      <c r="D47" s="16" t="s">
        <v>25</v>
      </c>
      <c r="E47" s="16" t="s">
        <v>42</v>
      </c>
      <c r="F47" s="16" t="s">
        <v>59</v>
      </c>
      <c r="G47" s="16" t="s">
        <v>71</v>
      </c>
      <c r="H47" s="16" t="s">
        <v>34</v>
      </c>
      <c r="I47" s="16" t="s">
        <v>52</v>
      </c>
      <c r="J47" s="16" t="n">
        <v>10</v>
      </c>
      <c r="K47" s="18" t="n">
        <v>0.3</v>
      </c>
      <c r="L47" s="19" t="n">
        <v>185920.8</v>
      </c>
      <c r="M47" s="19" t="n">
        <v>-38787.91</v>
      </c>
    </row>
    <row r="48" customFormat="false" ht="15" hidden="false" customHeight="false" outlineLevel="0" collapsed="false">
      <c r="A48" s="16" t="s">
        <v>114</v>
      </c>
      <c r="B48" s="17" t="n">
        <v>45955</v>
      </c>
      <c r="C48" s="17" t="n">
        <v>45958</v>
      </c>
      <c r="D48" s="16" t="s">
        <v>47</v>
      </c>
      <c r="E48" s="16" t="s">
        <v>48</v>
      </c>
      <c r="F48" s="16" t="s">
        <v>55</v>
      </c>
      <c r="G48" s="16" t="s">
        <v>96</v>
      </c>
      <c r="H48" s="16" t="s">
        <v>29</v>
      </c>
      <c r="I48" s="16" t="s">
        <v>107</v>
      </c>
      <c r="J48" s="16" t="n">
        <v>11</v>
      </c>
      <c r="K48" s="18" t="n">
        <v>0.1</v>
      </c>
      <c r="L48" s="19" t="n">
        <v>222811.63</v>
      </c>
      <c r="M48" s="19" t="n">
        <v>42395.97</v>
      </c>
    </row>
    <row r="49" customFormat="false" ht="15" hidden="false" customHeight="false" outlineLevel="0" collapsed="false">
      <c r="A49" s="16" t="s">
        <v>115</v>
      </c>
      <c r="B49" s="17" t="n">
        <v>45958</v>
      </c>
      <c r="C49" s="17" t="n">
        <v>45961</v>
      </c>
      <c r="D49" s="16" t="s">
        <v>47</v>
      </c>
      <c r="E49" s="16" t="s">
        <v>42</v>
      </c>
      <c r="F49" s="16" t="s">
        <v>55</v>
      </c>
      <c r="G49" s="16" t="s">
        <v>56</v>
      </c>
      <c r="H49" s="16" t="s">
        <v>34</v>
      </c>
      <c r="I49" s="16" t="s">
        <v>61</v>
      </c>
      <c r="J49" s="16" t="n">
        <v>6</v>
      </c>
      <c r="K49" s="18" t="n">
        <v>0.5</v>
      </c>
      <c r="L49" s="19" t="n">
        <v>19709.34</v>
      </c>
      <c r="M49" s="19" t="n">
        <v>-2043.5</v>
      </c>
    </row>
    <row r="50" customFormat="false" ht="15" hidden="false" customHeight="false" outlineLevel="0" collapsed="false">
      <c r="A50" s="16" t="s">
        <v>116</v>
      </c>
      <c r="B50" s="17" t="n">
        <v>45767</v>
      </c>
      <c r="C50" s="17" t="n">
        <v>45772</v>
      </c>
      <c r="D50" s="16" t="s">
        <v>47</v>
      </c>
      <c r="E50" s="16" t="s">
        <v>48</v>
      </c>
      <c r="F50" s="16" t="s">
        <v>37</v>
      </c>
      <c r="G50" s="16" t="s">
        <v>38</v>
      </c>
      <c r="H50" s="16" t="s">
        <v>34</v>
      </c>
      <c r="I50" s="16" t="s">
        <v>61</v>
      </c>
      <c r="J50" s="16" t="n">
        <v>3</v>
      </c>
      <c r="K50" s="18" t="n">
        <v>0.2</v>
      </c>
      <c r="L50" s="19" t="n">
        <v>39872.68</v>
      </c>
      <c r="M50" s="19" t="n">
        <v>11092.26</v>
      </c>
    </row>
    <row r="51" customFormat="false" ht="15" hidden="false" customHeight="false" outlineLevel="0" collapsed="false">
      <c r="A51" s="16" t="s">
        <v>117</v>
      </c>
      <c r="B51" s="17" t="n">
        <v>46010</v>
      </c>
      <c r="C51" s="17" t="n">
        <v>46013</v>
      </c>
      <c r="D51" s="16" t="s">
        <v>32</v>
      </c>
      <c r="E51" s="16" t="s">
        <v>26</v>
      </c>
      <c r="F51" s="16" t="s">
        <v>27</v>
      </c>
      <c r="G51" s="16" t="s">
        <v>82</v>
      </c>
      <c r="H51" s="16" t="s">
        <v>34</v>
      </c>
      <c r="I51" s="16" t="s">
        <v>35</v>
      </c>
      <c r="J51" s="16" t="n">
        <v>8</v>
      </c>
      <c r="K51" s="18" t="n">
        <v>0.5</v>
      </c>
      <c r="L51" s="19" t="n">
        <v>117405.79</v>
      </c>
      <c r="M51" s="19" t="n">
        <v>2219.52</v>
      </c>
    </row>
    <row r="52" customFormat="false" ht="15" hidden="false" customHeight="false" outlineLevel="0" collapsed="false">
      <c r="A52" s="16" t="s">
        <v>118</v>
      </c>
      <c r="B52" s="17" t="n">
        <v>45309</v>
      </c>
      <c r="C52" s="17" t="n">
        <v>45310</v>
      </c>
      <c r="D52" s="16" t="s">
        <v>47</v>
      </c>
      <c r="E52" s="16" t="s">
        <v>48</v>
      </c>
      <c r="F52" s="16" t="s">
        <v>55</v>
      </c>
      <c r="G52" s="16" t="s">
        <v>69</v>
      </c>
      <c r="H52" s="16" t="s">
        <v>44</v>
      </c>
      <c r="I52" s="16" t="s">
        <v>67</v>
      </c>
      <c r="J52" s="16" t="n">
        <v>8</v>
      </c>
      <c r="K52" s="18" t="n">
        <v>0.3</v>
      </c>
      <c r="L52" s="19" t="n">
        <v>6142.62</v>
      </c>
      <c r="M52" s="19" t="n">
        <v>-239.03</v>
      </c>
    </row>
    <row r="53" customFormat="false" ht="15" hidden="false" customHeight="false" outlineLevel="0" collapsed="false">
      <c r="A53" s="16" t="s">
        <v>119</v>
      </c>
      <c r="B53" s="17" t="n">
        <v>45756</v>
      </c>
      <c r="C53" s="17" t="n">
        <v>45759</v>
      </c>
      <c r="D53" s="16" t="s">
        <v>41</v>
      </c>
      <c r="E53" s="16" t="s">
        <v>42</v>
      </c>
      <c r="F53" s="16" t="s">
        <v>27</v>
      </c>
      <c r="G53" s="16" t="s">
        <v>82</v>
      </c>
      <c r="H53" s="16" t="s">
        <v>44</v>
      </c>
      <c r="I53" s="16" t="s">
        <v>80</v>
      </c>
      <c r="J53" s="16" t="n">
        <v>6</v>
      </c>
      <c r="K53" s="18" t="n">
        <v>0.1</v>
      </c>
      <c r="L53" s="19" t="n">
        <v>8931.63</v>
      </c>
      <c r="M53" s="19" t="n">
        <v>-1206.44</v>
      </c>
    </row>
    <row r="54" customFormat="false" ht="15" hidden="false" customHeight="false" outlineLevel="0" collapsed="false">
      <c r="A54" s="16" t="s">
        <v>120</v>
      </c>
      <c r="B54" s="17" t="n">
        <v>45787</v>
      </c>
      <c r="C54" s="17" t="n">
        <v>45790</v>
      </c>
      <c r="D54" s="16" t="s">
        <v>41</v>
      </c>
      <c r="E54" s="16" t="s">
        <v>48</v>
      </c>
      <c r="F54" s="16" t="s">
        <v>59</v>
      </c>
      <c r="G54" s="16" t="s">
        <v>66</v>
      </c>
      <c r="H54" s="16" t="s">
        <v>34</v>
      </c>
      <c r="I54" s="16" t="s">
        <v>57</v>
      </c>
      <c r="J54" s="16" t="n">
        <v>6</v>
      </c>
      <c r="K54" s="18" t="n">
        <v>0.2</v>
      </c>
      <c r="L54" s="19" t="n">
        <v>157185.13</v>
      </c>
      <c r="M54" s="19" t="n">
        <v>-35003.65</v>
      </c>
    </row>
    <row r="55" customFormat="false" ht="15" hidden="false" customHeight="false" outlineLevel="0" collapsed="false">
      <c r="A55" s="16" t="s">
        <v>121</v>
      </c>
      <c r="B55" s="17" t="n">
        <v>45347</v>
      </c>
      <c r="C55" s="17" t="n">
        <v>45352</v>
      </c>
      <c r="D55" s="16" t="s">
        <v>25</v>
      </c>
      <c r="E55" s="16" t="s">
        <v>26</v>
      </c>
      <c r="F55" s="16" t="s">
        <v>27</v>
      </c>
      <c r="G55" s="16" t="s">
        <v>33</v>
      </c>
      <c r="H55" s="16" t="s">
        <v>44</v>
      </c>
      <c r="I55" s="16" t="s">
        <v>63</v>
      </c>
      <c r="J55" s="16" t="n">
        <v>10</v>
      </c>
      <c r="K55" s="18" t="n">
        <v>0</v>
      </c>
      <c r="L55" s="19" t="n">
        <v>14882.71</v>
      </c>
      <c r="M55" s="19" t="n">
        <v>-1466.14</v>
      </c>
    </row>
    <row r="56" customFormat="false" ht="15" hidden="false" customHeight="false" outlineLevel="0" collapsed="false">
      <c r="A56" s="16" t="s">
        <v>122</v>
      </c>
      <c r="B56" s="17" t="n">
        <v>45781</v>
      </c>
      <c r="C56" s="17" t="n">
        <v>45782</v>
      </c>
      <c r="D56" s="16" t="s">
        <v>25</v>
      </c>
      <c r="E56" s="16" t="s">
        <v>42</v>
      </c>
      <c r="F56" s="16" t="s">
        <v>55</v>
      </c>
      <c r="G56" s="16" t="s">
        <v>96</v>
      </c>
      <c r="H56" s="16" t="s">
        <v>29</v>
      </c>
      <c r="I56" s="16" t="s">
        <v>107</v>
      </c>
      <c r="J56" s="16" t="n">
        <v>3</v>
      </c>
      <c r="K56" s="18" t="n">
        <v>0.15</v>
      </c>
      <c r="L56" s="19" t="n">
        <v>13850.44</v>
      </c>
      <c r="M56" s="19" t="n">
        <v>-2478.25</v>
      </c>
    </row>
    <row r="57" customFormat="false" ht="15" hidden="false" customHeight="false" outlineLevel="0" collapsed="false">
      <c r="A57" s="16" t="s">
        <v>123</v>
      </c>
      <c r="B57" s="17" t="n">
        <v>45718</v>
      </c>
      <c r="C57" s="17" t="n">
        <v>45723</v>
      </c>
      <c r="D57" s="16" t="s">
        <v>47</v>
      </c>
      <c r="E57" s="16" t="s">
        <v>48</v>
      </c>
      <c r="F57" s="16" t="s">
        <v>55</v>
      </c>
      <c r="G57" s="16" t="s">
        <v>56</v>
      </c>
      <c r="H57" s="16" t="s">
        <v>34</v>
      </c>
      <c r="I57" s="16" t="s">
        <v>52</v>
      </c>
      <c r="J57" s="16" t="n">
        <v>10</v>
      </c>
      <c r="K57" s="18" t="n">
        <v>0</v>
      </c>
      <c r="L57" s="19" t="n">
        <v>378300.98</v>
      </c>
      <c r="M57" s="19" t="n">
        <v>120509.34</v>
      </c>
    </row>
    <row r="58" customFormat="false" ht="15" hidden="false" customHeight="false" outlineLevel="0" collapsed="false">
      <c r="A58" s="16" t="s">
        <v>124</v>
      </c>
      <c r="B58" s="17" t="n">
        <v>45504</v>
      </c>
      <c r="C58" s="17" t="n">
        <v>45510</v>
      </c>
      <c r="D58" s="16" t="s">
        <v>41</v>
      </c>
      <c r="E58" s="16" t="s">
        <v>26</v>
      </c>
      <c r="F58" s="16" t="s">
        <v>59</v>
      </c>
      <c r="G58" s="16" t="s">
        <v>66</v>
      </c>
      <c r="H58" s="16" t="s">
        <v>29</v>
      </c>
      <c r="I58" s="16" t="s">
        <v>30</v>
      </c>
      <c r="J58" s="16" t="n">
        <v>9</v>
      </c>
      <c r="K58" s="18" t="n">
        <v>0.5</v>
      </c>
      <c r="L58" s="19" t="n">
        <v>16769.21</v>
      </c>
      <c r="M58" s="19" t="n">
        <v>-1261.79</v>
      </c>
    </row>
    <row r="59" customFormat="false" ht="15" hidden="false" customHeight="false" outlineLevel="0" collapsed="false">
      <c r="A59" s="16" t="s">
        <v>125</v>
      </c>
      <c r="B59" s="17" t="n">
        <v>45529</v>
      </c>
      <c r="C59" s="17" t="n">
        <v>45532</v>
      </c>
      <c r="D59" s="16" t="s">
        <v>41</v>
      </c>
      <c r="E59" s="16" t="s">
        <v>42</v>
      </c>
      <c r="F59" s="16" t="s">
        <v>55</v>
      </c>
      <c r="G59" s="16" t="s">
        <v>96</v>
      </c>
      <c r="H59" s="16" t="s">
        <v>34</v>
      </c>
      <c r="I59" s="16" t="s">
        <v>57</v>
      </c>
      <c r="J59" s="16" t="n">
        <v>5</v>
      </c>
      <c r="K59" s="18" t="n">
        <v>0.15</v>
      </c>
      <c r="L59" s="19" t="n">
        <v>170761.63</v>
      </c>
      <c r="M59" s="19" t="n">
        <v>868.05</v>
      </c>
    </row>
    <row r="60" customFormat="false" ht="15" hidden="false" customHeight="false" outlineLevel="0" collapsed="false">
      <c r="A60" s="16" t="s">
        <v>126</v>
      </c>
      <c r="B60" s="17" t="n">
        <v>45849</v>
      </c>
      <c r="C60" s="17" t="n">
        <v>45851</v>
      </c>
      <c r="D60" s="16" t="s">
        <v>25</v>
      </c>
      <c r="E60" s="16" t="s">
        <v>26</v>
      </c>
      <c r="F60" s="16" t="s">
        <v>37</v>
      </c>
      <c r="G60" s="16" t="s">
        <v>49</v>
      </c>
      <c r="H60" s="16" t="s">
        <v>34</v>
      </c>
      <c r="I60" s="16" t="s">
        <v>52</v>
      </c>
      <c r="J60" s="16" t="n">
        <v>3</v>
      </c>
      <c r="K60" s="18" t="n">
        <v>0.2</v>
      </c>
      <c r="L60" s="19" t="n">
        <v>119323.34</v>
      </c>
      <c r="M60" s="19" t="n">
        <v>1609.92</v>
      </c>
    </row>
    <row r="61" customFormat="false" ht="15" hidden="false" customHeight="false" outlineLevel="0" collapsed="false">
      <c r="A61" s="16" t="s">
        <v>127</v>
      </c>
      <c r="B61" s="17" t="n">
        <v>45771</v>
      </c>
      <c r="C61" s="17" t="n">
        <v>45777</v>
      </c>
      <c r="D61" s="16" t="s">
        <v>32</v>
      </c>
      <c r="E61" s="16" t="s">
        <v>42</v>
      </c>
      <c r="F61" s="16" t="s">
        <v>55</v>
      </c>
      <c r="G61" s="16" t="s">
        <v>86</v>
      </c>
      <c r="H61" s="16" t="s">
        <v>44</v>
      </c>
      <c r="I61" s="16" t="s">
        <v>63</v>
      </c>
      <c r="J61" s="16" t="n">
        <v>8</v>
      </c>
      <c r="K61" s="18" t="n">
        <v>0.3</v>
      </c>
      <c r="L61" s="19" t="n">
        <v>1207.34</v>
      </c>
      <c r="M61" s="19" t="n">
        <v>135.5</v>
      </c>
    </row>
    <row r="62" customFormat="false" ht="15" hidden="false" customHeight="false" outlineLevel="0" collapsed="false">
      <c r="A62" s="16" t="s">
        <v>128</v>
      </c>
      <c r="B62" s="17" t="n">
        <v>45318</v>
      </c>
      <c r="C62" s="17" t="n">
        <v>45319</v>
      </c>
      <c r="D62" s="16" t="s">
        <v>32</v>
      </c>
      <c r="E62" s="16" t="s">
        <v>26</v>
      </c>
      <c r="F62" s="16" t="s">
        <v>37</v>
      </c>
      <c r="G62" s="16" t="s">
        <v>38</v>
      </c>
      <c r="H62" s="16" t="s">
        <v>29</v>
      </c>
      <c r="I62" s="16" t="s">
        <v>78</v>
      </c>
      <c r="J62" s="16" t="n">
        <v>9</v>
      </c>
      <c r="K62" s="18" t="n">
        <v>0.4</v>
      </c>
      <c r="L62" s="19" t="n">
        <v>91717.48</v>
      </c>
      <c r="M62" s="19" t="n">
        <v>12003.14</v>
      </c>
    </row>
    <row r="63" customFormat="false" ht="15" hidden="false" customHeight="false" outlineLevel="0" collapsed="false">
      <c r="A63" s="16" t="s">
        <v>129</v>
      </c>
      <c r="B63" s="17" t="n">
        <v>45795</v>
      </c>
      <c r="C63" s="17" t="n">
        <v>45796</v>
      </c>
      <c r="D63" s="16" t="s">
        <v>25</v>
      </c>
      <c r="E63" s="16" t="s">
        <v>48</v>
      </c>
      <c r="F63" s="16" t="s">
        <v>55</v>
      </c>
      <c r="G63" s="16" t="s">
        <v>86</v>
      </c>
      <c r="H63" s="16" t="s">
        <v>44</v>
      </c>
      <c r="I63" s="16" t="s">
        <v>80</v>
      </c>
      <c r="J63" s="16" t="n">
        <v>3</v>
      </c>
      <c r="K63" s="18" t="n">
        <v>0.4</v>
      </c>
      <c r="L63" s="19" t="n">
        <v>3800.98</v>
      </c>
      <c r="M63" s="19" t="n">
        <v>905.16</v>
      </c>
    </row>
    <row r="64" customFormat="false" ht="15" hidden="false" customHeight="false" outlineLevel="0" collapsed="false">
      <c r="A64" s="16" t="s">
        <v>130</v>
      </c>
      <c r="B64" s="17" t="n">
        <v>45855</v>
      </c>
      <c r="C64" s="17" t="n">
        <v>45856</v>
      </c>
      <c r="D64" s="16" t="s">
        <v>25</v>
      </c>
      <c r="E64" s="16" t="s">
        <v>48</v>
      </c>
      <c r="F64" s="16" t="s">
        <v>37</v>
      </c>
      <c r="G64" s="16" t="s">
        <v>43</v>
      </c>
      <c r="H64" s="16" t="s">
        <v>44</v>
      </c>
      <c r="I64" s="16" t="s">
        <v>45</v>
      </c>
      <c r="J64" s="16" t="n">
        <v>7</v>
      </c>
      <c r="K64" s="18" t="n">
        <v>0.5</v>
      </c>
      <c r="L64" s="19" t="n">
        <v>8723.01</v>
      </c>
      <c r="M64" s="19" t="n">
        <v>-17.89</v>
      </c>
    </row>
    <row r="65" customFormat="false" ht="15" hidden="false" customHeight="false" outlineLevel="0" collapsed="false">
      <c r="A65" s="16" t="s">
        <v>131</v>
      </c>
      <c r="B65" s="17" t="n">
        <v>45484</v>
      </c>
      <c r="C65" s="17" t="n">
        <v>45489</v>
      </c>
      <c r="D65" s="16" t="s">
        <v>41</v>
      </c>
      <c r="E65" s="16" t="s">
        <v>26</v>
      </c>
      <c r="F65" s="16" t="s">
        <v>55</v>
      </c>
      <c r="G65" s="16" t="s">
        <v>56</v>
      </c>
      <c r="H65" s="16" t="s">
        <v>44</v>
      </c>
      <c r="I65" s="16" t="s">
        <v>98</v>
      </c>
      <c r="J65" s="16" t="n">
        <v>5</v>
      </c>
      <c r="K65" s="18" t="n">
        <v>0.5</v>
      </c>
      <c r="L65" s="19" t="n">
        <v>6975.63</v>
      </c>
      <c r="M65" s="19" t="n">
        <v>-1235.69</v>
      </c>
    </row>
    <row r="66" customFormat="false" ht="15" hidden="false" customHeight="false" outlineLevel="0" collapsed="false">
      <c r="A66" s="16" t="s">
        <v>132</v>
      </c>
      <c r="B66" s="17" t="n">
        <v>45937</v>
      </c>
      <c r="C66" s="17" t="n">
        <v>45942</v>
      </c>
      <c r="D66" s="16" t="s">
        <v>32</v>
      </c>
      <c r="E66" s="16" t="s">
        <v>42</v>
      </c>
      <c r="F66" s="16" t="s">
        <v>37</v>
      </c>
      <c r="G66" s="16" t="s">
        <v>38</v>
      </c>
      <c r="H66" s="16" t="s">
        <v>29</v>
      </c>
      <c r="I66" s="16" t="s">
        <v>39</v>
      </c>
      <c r="J66" s="16" t="n">
        <v>2</v>
      </c>
      <c r="K66" s="18" t="n">
        <v>0</v>
      </c>
      <c r="L66" s="19" t="n">
        <v>14336.23</v>
      </c>
      <c r="M66" s="19" t="n">
        <v>1987.37</v>
      </c>
    </row>
    <row r="67" customFormat="false" ht="15" hidden="false" customHeight="false" outlineLevel="0" collapsed="false">
      <c r="A67" s="16" t="s">
        <v>133</v>
      </c>
      <c r="B67" s="17" t="n">
        <v>45449</v>
      </c>
      <c r="C67" s="17" t="n">
        <v>45453</v>
      </c>
      <c r="D67" s="16" t="s">
        <v>32</v>
      </c>
      <c r="E67" s="16" t="s">
        <v>48</v>
      </c>
      <c r="F67" s="16" t="s">
        <v>37</v>
      </c>
      <c r="G67" s="16" t="s">
        <v>91</v>
      </c>
      <c r="H67" s="16" t="s">
        <v>34</v>
      </c>
      <c r="I67" s="16" t="s">
        <v>57</v>
      </c>
      <c r="J67" s="16" t="n">
        <v>4</v>
      </c>
      <c r="K67" s="18" t="n">
        <v>0.1</v>
      </c>
      <c r="L67" s="19" t="n">
        <v>45542.54</v>
      </c>
      <c r="M67" s="19" t="n">
        <v>12224.35</v>
      </c>
    </row>
    <row r="68" customFormat="false" ht="15" hidden="false" customHeight="false" outlineLevel="0" collapsed="false">
      <c r="A68" s="16" t="s">
        <v>134</v>
      </c>
      <c r="B68" s="17" t="n">
        <v>45574</v>
      </c>
      <c r="C68" s="17" t="n">
        <v>45581</v>
      </c>
      <c r="D68" s="16" t="s">
        <v>47</v>
      </c>
      <c r="E68" s="16" t="s">
        <v>48</v>
      </c>
      <c r="F68" s="16" t="s">
        <v>37</v>
      </c>
      <c r="G68" s="16" t="s">
        <v>38</v>
      </c>
      <c r="H68" s="16" t="s">
        <v>44</v>
      </c>
      <c r="I68" s="16" t="s">
        <v>80</v>
      </c>
      <c r="J68" s="16" t="n">
        <v>10</v>
      </c>
      <c r="K68" s="18" t="n">
        <v>0.5</v>
      </c>
      <c r="L68" s="19" t="n">
        <v>10069.14</v>
      </c>
      <c r="M68" s="19" t="n">
        <v>736.54</v>
      </c>
    </row>
    <row r="69" customFormat="false" ht="15" hidden="false" customHeight="false" outlineLevel="0" collapsed="false">
      <c r="A69" s="16" t="s">
        <v>135</v>
      </c>
      <c r="B69" s="17" t="n">
        <v>45645</v>
      </c>
      <c r="C69" s="17" t="n">
        <v>45648</v>
      </c>
      <c r="D69" s="16" t="s">
        <v>41</v>
      </c>
      <c r="E69" s="16" t="s">
        <v>26</v>
      </c>
      <c r="F69" s="16" t="s">
        <v>55</v>
      </c>
      <c r="G69" s="16" t="s">
        <v>86</v>
      </c>
      <c r="H69" s="16" t="s">
        <v>34</v>
      </c>
      <c r="I69" s="16" t="s">
        <v>61</v>
      </c>
      <c r="J69" s="16" t="n">
        <v>10</v>
      </c>
      <c r="K69" s="18" t="n">
        <v>0.3</v>
      </c>
      <c r="L69" s="19" t="n">
        <v>178712.4</v>
      </c>
      <c r="M69" s="19" t="n">
        <v>35174.73</v>
      </c>
    </row>
    <row r="70" customFormat="false" ht="15" hidden="false" customHeight="false" outlineLevel="0" collapsed="false">
      <c r="A70" s="16" t="s">
        <v>136</v>
      </c>
      <c r="B70" s="17" t="n">
        <v>46014</v>
      </c>
      <c r="C70" s="17" t="n">
        <v>46021</v>
      </c>
      <c r="D70" s="16" t="s">
        <v>41</v>
      </c>
      <c r="E70" s="16" t="s">
        <v>26</v>
      </c>
      <c r="F70" s="16" t="s">
        <v>27</v>
      </c>
      <c r="G70" s="16" t="s">
        <v>33</v>
      </c>
      <c r="H70" s="16" t="s">
        <v>44</v>
      </c>
      <c r="I70" s="16" t="s">
        <v>50</v>
      </c>
      <c r="J70" s="16" t="n">
        <v>9</v>
      </c>
      <c r="K70" s="18" t="n">
        <v>0.5</v>
      </c>
      <c r="L70" s="19" t="n">
        <v>4782.53</v>
      </c>
      <c r="M70" s="19" t="n">
        <v>-909.51</v>
      </c>
    </row>
    <row r="71" customFormat="false" ht="15" hidden="false" customHeight="false" outlineLevel="0" collapsed="false">
      <c r="A71" s="16" t="s">
        <v>137</v>
      </c>
      <c r="B71" s="17" t="n">
        <v>45759</v>
      </c>
      <c r="C71" s="17" t="n">
        <v>45760</v>
      </c>
      <c r="D71" s="16" t="s">
        <v>32</v>
      </c>
      <c r="E71" s="16" t="s">
        <v>26</v>
      </c>
      <c r="F71" s="16" t="s">
        <v>55</v>
      </c>
      <c r="G71" s="16" t="s">
        <v>69</v>
      </c>
      <c r="H71" s="16" t="s">
        <v>34</v>
      </c>
      <c r="I71" s="16" t="s">
        <v>52</v>
      </c>
      <c r="J71" s="16" t="n">
        <v>5</v>
      </c>
      <c r="K71" s="18" t="n">
        <v>0.3</v>
      </c>
      <c r="L71" s="19" t="n">
        <v>138304.05</v>
      </c>
      <c r="M71" s="19" t="n">
        <v>36153.34</v>
      </c>
    </row>
    <row r="72" customFormat="false" ht="15" hidden="false" customHeight="false" outlineLevel="0" collapsed="false">
      <c r="A72" s="16" t="s">
        <v>138</v>
      </c>
      <c r="B72" s="17" t="n">
        <v>45838</v>
      </c>
      <c r="C72" s="17" t="n">
        <v>45842</v>
      </c>
      <c r="D72" s="16" t="s">
        <v>25</v>
      </c>
      <c r="E72" s="16" t="s">
        <v>42</v>
      </c>
      <c r="F72" s="16" t="s">
        <v>55</v>
      </c>
      <c r="G72" s="16" t="s">
        <v>96</v>
      </c>
      <c r="H72" s="16" t="s">
        <v>44</v>
      </c>
      <c r="I72" s="16" t="s">
        <v>63</v>
      </c>
      <c r="J72" s="16" t="n">
        <v>4</v>
      </c>
      <c r="K72" s="18" t="n">
        <v>0</v>
      </c>
      <c r="L72" s="19" t="n">
        <v>11082.78</v>
      </c>
      <c r="M72" s="19" t="n">
        <v>115.07</v>
      </c>
    </row>
    <row r="73" customFormat="false" ht="15" hidden="false" customHeight="false" outlineLevel="0" collapsed="false">
      <c r="A73" s="16" t="s">
        <v>139</v>
      </c>
      <c r="B73" s="17" t="n">
        <v>45392</v>
      </c>
      <c r="C73" s="17" t="n">
        <v>45399</v>
      </c>
      <c r="D73" s="16" t="s">
        <v>47</v>
      </c>
      <c r="E73" s="16" t="s">
        <v>42</v>
      </c>
      <c r="F73" s="16" t="s">
        <v>55</v>
      </c>
      <c r="G73" s="16" t="s">
        <v>69</v>
      </c>
      <c r="H73" s="16" t="s">
        <v>34</v>
      </c>
      <c r="I73" s="16" t="s">
        <v>35</v>
      </c>
      <c r="J73" s="16" t="n">
        <v>1</v>
      </c>
      <c r="K73" s="18" t="n">
        <v>0.3</v>
      </c>
      <c r="L73" s="19" t="n">
        <v>13063.41</v>
      </c>
      <c r="M73" s="19" t="n">
        <v>109.89</v>
      </c>
    </row>
    <row r="74" customFormat="false" ht="15" hidden="false" customHeight="false" outlineLevel="0" collapsed="false">
      <c r="A74" s="16" t="s">
        <v>140</v>
      </c>
      <c r="B74" s="17" t="n">
        <v>45542</v>
      </c>
      <c r="C74" s="17" t="n">
        <v>45547</v>
      </c>
      <c r="D74" s="16" t="s">
        <v>25</v>
      </c>
      <c r="E74" s="16" t="s">
        <v>26</v>
      </c>
      <c r="F74" s="16" t="s">
        <v>27</v>
      </c>
      <c r="G74" s="16" t="s">
        <v>28</v>
      </c>
      <c r="H74" s="16" t="s">
        <v>44</v>
      </c>
      <c r="I74" s="16" t="s">
        <v>98</v>
      </c>
      <c r="J74" s="16" t="n">
        <v>10</v>
      </c>
      <c r="K74" s="18" t="n">
        <v>0.1</v>
      </c>
      <c r="L74" s="19" t="n">
        <v>17074.44</v>
      </c>
      <c r="M74" s="19" t="n">
        <v>-1889.92</v>
      </c>
    </row>
    <row r="75" customFormat="false" ht="15" hidden="false" customHeight="false" outlineLevel="0" collapsed="false">
      <c r="A75" s="16" t="s">
        <v>141</v>
      </c>
      <c r="B75" s="17" t="n">
        <v>45945</v>
      </c>
      <c r="C75" s="17" t="n">
        <v>45948</v>
      </c>
      <c r="D75" s="16" t="s">
        <v>41</v>
      </c>
      <c r="E75" s="16" t="s">
        <v>48</v>
      </c>
      <c r="F75" s="16" t="s">
        <v>59</v>
      </c>
      <c r="G75" s="16" t="s">
        <v>60</v>
      </c>
      <c r="H75" s="16" t="s">
        <v>44</v>
      </c>
      <c r="I75" s="16" t="s">
        <v>80</v>
      </c>
      <c r="J75" s="16" t="n">
        <v>2</v>
      </c>
      <c r="K75" s="18" t="n">
        <v>0.4</v>
      </c>
      <c r="L75" s="19" t="n">
        <v>1322.57</v>
      </c>
      <c r="M75" s="19" t="n">
        <v>217.15</v>
      </c>
    </row>
    <row r="76" customFormat="false" ht="15" hidden="false" customHeight="false" outlineLevel="0" collapsed="false">
      <c r="A76" s="16" t="s">
        <v>142</v>
      </c>
      <c r="B76" s="17" t="n">
        <v>45759</v>
      </c>
      <c r="C76" s="17" t="n">
        <v>45766</v>
      </c>
      <c r="D76" s="16" t="s">
        <v>41</v>
      </c>
      <c r="E76" s="16" t="s">
        <v>26</v>
      </c>
      <c r="F76" s="16" t="s">
        <v>55</v>
      </c>
      <c r="G76" s="16" t="s">
        <v>56</v>
      </c>
      <c r="H76" s="16" t="s">
        <v>44</v>
      </c>
      <c r="I76" s="16" t="s">
        <v>67</v>
      </c>
      <c r="J76" s="16" t="n">
        <v>7</v>
      </c>
      <c r="K76" s="18" t="n">
        <v>0.2</v>
      </c>
      <c r="L76" s="19" t="n">
        <v>9894.95</v>
      </c>
      <c r="M76" s="19" t="n">
        <v>-2343.48</v>
      </c>
    </row>
    <row r="77" customFormat="false" ht="15" hidden="false" customHeight="false" outlineLevel="0" collapsed="false">
      <c r="A77" s="16" t="s">
        <v>143</v>
      </c>
      <c r="B77" s="17" t="n">
        <v>45966</v>
      </c>
      <c r="C77" s="17" t="n">
        <v>45970</v>
      </c>
      <c r="D77" s="16" t="s">
        <v>41</v>
      </c>
      <c r="E77" s="16" t="s">
        <v>48</v>
      </c>
      <c r="F77" s="16" t="s">
        <v>59</v>
      </c>
      <c r="G77" s="16" t="s">
        <v>60</v>
      </c>
      <c r="H77" s="16" t="s">
        <v>44</v>
      </c>
      <c r="I77" s="16" t="s">
        <v>45</v>
      </c>
      <c r="J77" s="16" t="n">
        <v>10</v>
      </c>
      <c r="K77" s="18" t="n">
        <v>0.2</v>
      </c>
      <c r="L77" s="19" t="n">
        <v>5880.91</v>
      </c>
      <c r="M77" s="19" t="n">
        <v>921.3</v>
      </c>
    </row>
    <row r="78" customFormat="false" ht="15" hidden="false" customHeight="false" outlineLevel="0" collapsed="false">
      <c r="A78" s="16" t="s">
        <v>144</v>
      </c>
      <c r="B78" s="17" t="n">
        <v>45967</v>
      </c>
      <c r="C78" s="17" t="n">
        <v>45973</v>
      </c>
      <c r="D78" s="16" t="s">
        <v>25</v>
      </c>
      <c r="E78" s="16" t="s">
        <v>48</v>
      </c>
      <c r="F78" s="16" t="s">
        <v>59</v>
      </c>
      <c r="G78" s="16" t="s">
        <v>71</v>
      </c>
      <c r="H78" s="16" t="s">
        <v>29</v>
      </c>
      <c r="I78" s="16" t="s">
        <v>78</v>
      </c>
      <c r="J78" s="16" t="n">
        <v>10</v>
      </c>
      <c r="K78" s="18" t="n">
        <v>0.3</v>
      </c>
      <c r="L78" s="19" t="n">
        <v>72742.66</v>
      </c>
      <c r="M78" s="19" t="n">
        <v>14438.58</v>
      </c>
    </row>
    <row r="79" customFormat="false" ht="15" hidden="false" customHeight="false" outlineLevel="0" collapsed="false">
      <c r="A79" s="16" t="s">
        <v>145</v>
      </c>
      <c r="B79" s="17" t="n">
        <v>45471</v>
      </c>
      <c r="C79" s="17" t="n">
        <v>45473</v>
      </c>
      <c r="D79" s="16" t="s">
        <v>32</v>
      </c>
      <c r="E79" s="16" t="s">
        <v>48</v>
      </c>
      <c r="F79" s="16" t="s">
        <v>37</v>
      </c>
      <c r="G79" s="16" t="s">
        <v>49</v>
      </c>
      <c r="H79" s="16" t="s">
        <v>29</v>
      </c>
      <c r="I79" s="16" t="s">
        <v>30</v>
      </c>
      <c r="J79" s="16" t="n">
        <v>5</v>
      </c>
      <c r="K79" s="18" t="n">
        <v>0</v>
      </c>
      <c r="L79" s="19" t="n">
        <v>95854.33</v>
      </c>
      <c r="M79" s="19" t="n">
        <v>-15868.28</v>
      </c>
    </row>
    <row r="80" customFormat="false" ht="15" hidden="false" customHeight="false" outlineLevel="0" collapsed="false">
      <c r="A80" s="16" t="s">
        <v>146</v>
      </c>
      <c r="B80" s="17" t="n">
        <v>45523</v>
      </c>
      <c r="C80" s="17" t="n">
        <v>45530</v>
      </c>
      <c r="D80" s="16" t="s">
        <v>25</v>
      </c>
      <c r="E80" s="16" t="s">
        <v>48</v>
      </c>
      <c r="F80" s="16" t="s">
        <v>37</v>
      </c>
      <c r="G80" s="16" t="s">
        <v>38</v>
      </c>
      <c r="H80" s="16" t="s">
        <v>34</v>
      </c>
      <c r="I80" s="16" t="s">
        <v>61</v>
      </c>
      <c r="J80" s="16" t="n">
        <v>5</v>
      </c>
      <c r="K80" s="18" t="n">
        <v>0.2</v>
      </c>
      <c r="L80" s="19" t="n">
        <v>163441.84</v>
      </c>
      <c r="M80" s="19" t="n">
        <v>16464.49</v>
      </c>
    </row>
    <row r="81" customFormat="false" ht="15" hidden="false" customHeight="false" outlineLevel="0" collapsed="false">
      <c r="A81" s="16" t="s">
        <v>147</v>
      </c>
      <c r="B81" s="17" t="n">
        <v>45945</v>
      </c>
      <c r="C81" s="17" t="n">
        <v>45948</v>
      </c>
      <c r="D81" s="16" t="s">
        <v>47</v>
      </c>
      <c r="E81" s="16" t="s">
        <v>42</v>
      </c>
      <c r="F81" s="16" t="s">
        <v>55</v>
      </c>
      <c r="G81" s="16" t="s">
        <v>96</v>
      </c>
      <c r="H81" s="16" t="s">
        <v>29</v>
      </c>
      <c r="I81" s="16" t="s">
        <v>39</v>
      </c>
      <c r="J81" s="16" t="n">
        <v>10</v>
      </c>
      <c r="K81" s="18" t="n">
        <v>0.2</v>
      </c>
      <c r="L81" s="19" t="n">
        <v>56731.56</v>
      </c>
      <c r="M81" s="19" t="n">
        <v>7916.53</v>
      </c>
    </row>
    <row r="82" customFormat="false" ht="15" hidden="false" customHeight="false" outlineLevel="0" collapsed="false">
      <c r="A82" s="16" t="s">
        <v>148</v>
      </c>
      <c r="B82" s="17" t="n">
        <v>45411</v>
      </c>
      <c r="C82" s="17" t="n">
        <v>45413</v>
      </c>
      <c r="D82" s="16" t="s">
        <v>25</v>
      </c>
      <c r="E82" s="16" t="s">
        <v>26</v>
      </c>
      <c r="F82" s="16" t="s">
        <v>37</v>
      </c>
      <c r="G82" s="16" t="s">
        <v>91</v>
      </c>
      <c r="H82" s="16" t="s">
        <v>29</v>
      </c>
      <c r="I82" s="16" t="s">
        <v>78</v>
      </c>
      <c r="J82" s="16" t="n">
        <v>4</v>
      </c>
      <c r="K82" s="18" t="n">
        <v>0.4</v>
      </c>
      <c r="L82" s="19" t="n">
        <v>53776.71</v>
      </c>
      <c r="M82" s="19" t="n">
        <v>5506.96</v>
      </c>
    </row>
    <row r="83" customFormat="false" ht="15" hidden="false" customHeight="false" outlineLevel="0" collapsed="false">
      <c r="A83" s="16" t="s">
        <v>149</v>
      </c>
      <c r="B83" s="17" t="n">
        <v>45450</v>
      </c>
      <c r="C83" s="17" t="n">
        <v>45454</v>
      </c>
      <c r="D83" s="16" t="s">
        <v>25</v>
      </c>
      <c r="E83" s="16" t="s">
        <v>48</v>
      </c>
      <c r="F83" s="16" t="s">
        <v>55</v>
      </c>
      <c r="G83" s="16" t="s">
        <v>56</v>
      </c>
      <c r="H83" s="16" t="s">
        <v>34</v>
      </c>
      <c r="I83" s="16" t="s">
        <v>35</v>
      </c>
      <c r="J83" s="16" t="n">
        <v>12</v>
      </c>
      <c r="K83" s="18" t="n">
        <v>0.3</v>
      </c>
      <c r="L83" s="19" t="n">
        <v>479702.81</v>
      </c>
      <c r="M83" s="19" t="n">
        <v>-91329.29</v>
      </c>
    </row>
    <row r="84" customFormat="false" ht="15" hidden="false" customHeight="false" outlineLevel="0" collapsed="false">
      <c r="A84" s="16" t="s">
        <v>150</v>
      </c>
      <c r="B84" s="17" t="n">
        <v>45994</v>
      </c>
      <c r="C84" s="17" t="n">
        <v>45997</v>
      </c>
      <c r="D84" s="16" t="s">
        <v>41</v>
      </c>
      <c r="E84" s="16" t="s">
        <v>48</v>
      </c>
      <c r="F84" s="16" t="s">
        <v>59</v>
      </c>
      <c r="G84" s="16" t="s">
        <v>60</v>
      </c>
      <c r="H84" s="16" t="s">
        <v>34</v>
      </c>
      <c r="I84" s="16" t="s">
        <v>57</v>
      </c>
      <c r="J84" s="16" t="n">
        <v>2</v>
      </c>
      <c r="K84" s="18" t="n">
        <v>0.15</v>
      </c>
      <c r="L84" s="19" t="n">
        <v>11666.92</v>
      </c>
      <c r="M84" s="19" t="n">
        <v>1575.3</v>
      </c>
    </row>
    <row r="85" customFormat="false" ht="15" hidden="false" customHeight="false" outlineLevel="0" collapsed="false">
      <c r="A85" s="16" t="s">
        <v>151</v>
      </c>
      <c r="B85" s="17" t="n">
        <v>45903</v>
      </c>
      <c r="C85" s="17" t="n">
        <v>45904</v>
      </c>
      <c r="D85" s="16" t="s">
        <v>41</v>
      </c>
      <c r="E85" s="16" t="s">
        <v>42</v>
      </c>
      <c r="F85" s="16" t="s">
        <v>27</v>
      </c>
      <c r="G85" s="16" t="s">
        <v>28</v>
      </c>
      <c r="H85" s="16" t="s">
        <v>29</v>
      </c>
      <c r="I85" s="16" t="s">
        <v>30</v>
      </c>
      <c r="J85" s="16" t="n">
        <v>2</v>
      </c>
      <c r="K85" s="18" t="n">
        <v>0.15</v>
      </c>
      <c r="L85" s="19" t="n">
        <v>35845.88</v>
      </c>
      <c r="M85" s="19" t="n">
        <v>-1894.97</v>
      </c>
    </row>
    <row r="86" customFormat="false" ht="15" hidden="false" customHeight="false" outlineLevel="0" collapsed="false">
      <c r="A86" s="16" t="s">
        <v>152</v>
      </c>
      <c r="B86" s="17" t="n">
        <v>45443</v>
      </c>
      <c r="C86" s="17" t="n">
        <v>45450</v>
      </c>
      <c r="D86" s="16" t="s">
        <v>47</v>
      </c>
      <c r="E86" s="16" t="s">
        <v>26</v>
      </c>
      <c r="F86" s="16" t="s">
        <v>37</v>
      </c>
      <c r="G86" s="16" t="s">
        <v>49</v>
      </c>
      <c r="H86" s="16" t="s">
        <v>34</v>
      </c>
      <c r="I86" s="16" t="s">
        <v>35</v>
      </c>
      <c r="J86" s="16" t="n">
        <v>3</v>
      </c>
      <c r="K86" s="18" t="n">
        <v>0.3</v>
      </c>
      <c r="L86" s="19" t="n">
        <v>19342.03</v>
      </c>
      <c r="M86" s="19" t="n">
        <v>4332.44</v>
      </c>
    </row>
    <row r="87" customFormat="false" ht="15" hidden="false" customHeight="false" outlineLevel="0" collapsed="false">
      <c r="A87" s="16" t="s">
        <v>153</v>
      </c>
      <c r="B87" s="17" t="n">
        <v>45535</v>
      </c>
      <c r="C87" s="17" t="n">
        <v>45540</v>
      </c>
      <c r="D87" s="16" t="s">
        <v>41</v>
      </c>
      <c r="E87" s="16" t="s">
        <v>26</v>
      </c>
      <c r="F87" s="16" t="s">
        <v>27</v>
      </c>
      <c r="G87" s="16" t="s">
        <v>73</v>
      </c>
      <c r="H87" s="16" t="s">
        <v>44</v>
      </c>
      <c r="I87" s="16" t="s">
        <v>45</v>
      </c>
      <c r="J87" s="16" t="n">
        <v>12</v>
      </c>
      <c r="K87" s="18" t="n">
        <v>0.5</v>
      </c>
      <c r="L87" s="19" t="n">
        <v>2577.5</v>
      </c>
      <c r="M87" s="19" t="n">
        <v>558.83</v>
      </c>
    </row>
    <row r="88" customFormat="false" ht="15" hidden="false" customHeight="false" outlineLevel="0" collapsed="false">
      <c r="A88" s="16" t="s">
        <v>154</v>
      </c>
      <c r="B88" s="17" t="n">
        <v>45817</v>
      </c>
      <c r="C88" s="17" t="n">
        <v>45822</v>
      </c>
      <c r="D88" s="16" t="s">
        <v>47</v>
      </c>
      <c r="E88" s="16" t="s">
        <v>42</v>
      </c>
      <c r="F88" s="16" t="s">
        <v>27</v>
      </c>
      <c r="G88" s="16" t="s">
        <v>82</v>
      </c>
      <c r="H88" s="16" t="s">
        <v>29</v>
      </c>
      <c r="I88" s="16" t="s">
        <v>107</v>
      </c>
      <c r="J88" s="16" t="n">
        <v>8</v>
      </c>
      <c r="K88" s="18" t="n">
        <v>0.4</v>
      </c>
      <c r="L88" s="19" t="n">
        <v>80624.81</v>
      </c>
      <c r="M88" s="19" t="n">
        <v>464.74</v>
      </c>
    </row>
    <row r="89" customFormat="false" ht="15" hidden="false" customHeight="false" outlineLevel="0" collapsed="false">
      <c r="A89" s="16" t="s">
        <v>155</v>
      </c>
      <c r="B89" s="17" t="n">
        <v>45402</v>
      </c>
      <c r="C89" s="17" t="n">
        <v>45406</v>
      </c>
      <c r="D89" s="16" t="s">
        <v>41</v>
      </c>
      <c r="E89" s="16" t="s">
        <v>48</v>
      </c>
      <c r="F89" s="16" t="s">
        <v>59</v>
      </c>
      <c r="G89" s="16" t="s">
        <v>75</v>
      </c>
      <c r="H89" s="16" t="s">
        <v>34</v>
      </c>
      <c r="I89" s="16" t="s">
        <v>61</v>
      </c>
      <c r="J89" s="16" t="n">
        <v>2</v>
      </c>
      <c r="K89" s="18" t="n">
        <v>0.3</v>
      </c>
      <c r="L89" s="19" t="n">
        <v>50041.37</v>
      </c>
      <c r="M89" s="19" t="n">
        <v>-1073.76</v>
      </c>
    </row>
    <row r="90" customFormat="false" ht="15" hidden="false" customHeight="false" outlineLevel="0" collapsed="false">
      <c r="A90" s="16" t="s">
        <v>156</v>
      </c>
      <c r="B90" s="17" t="n">
        <v>45903</v>
      </c>
      <c r="C90" s="17" t="n">
        <v>45908</v>
      </c>
      <c r="D90" s="16" t="s">
        <v>25</v>
      </c>
      <c r="E90" s="16" t="s">
        <v>42</v>
      </c>
      <c r="F90" s="16" t="s">
        <v>55</v>
      </c>
      <c r="G90" s="16" t="s">
        <v>96</v>
      </c>
      <c r="H90" s="16" t="s">
        <v>44</v>
      </c>
      <c r="I90" s="16" t="s">
        <v>50</v>
      </c>
      <c r="J90" s="16" t="n">
        <v>11</v>
      </c>
      <c r="K90" s="18" t="n">
        <v>0.15</v>
      </c>
      <c r="L90" s="19" t="n">
        <v>21785.42</v>
      </c>
      <c r="M90" s="19" t="n">
        <v>175.2</v>
      </c>
    </row>
    <row r="91" customFormat="false" ht="15" hidden="false" customHeight="false" outlineLevel="0" collapsed="false">
      <c r="A91" s="16" t="s">
        <v>157</v>
      </c>
      <c r="B91" s="17" t="n">
        <v>45525</v>
      </c>
      <c r="C91" s="17" t="n">
        <v>45529</v>
      </c>
      <c r="D91" s="16" t="s">
        <v>25</v>
      </c>
      <c r="E91" s="16" t="s">
        <v>42</v>
      </c>
      <c r="F91" s="16" t="s">
        <v>55</v>
      </c>
      <c r="G91" s="16" t="s">
        <v>56</v>
      </c>
      <c r="H91" s="16" t="s">
        <v>44</v>
      </c>
      <c r="I91" s="16" t="s">
        <v>50</v>
      </c>
      <c r="J91" s="16" t="n">
        <v>6</v>
      </c>
      <c r="K91" s="18" t="n">
        <v>0.1</v>
      </c>
      <c r="L91" s="19" t="n">
        <v>10955.59</v>
      </c>
      <c r="M91" s="19" t="n">
        <v>1775.82</v>
      </c>
    </row>
    <row r="92" customFormat="false" ht="15" hidden="false" customHeight="false" outlineLevel="0" collapsed="false">
      <c r="A92" s="16" t="s">
        <v>158</v>
      </c>
      <c r="B92" s="17" t="n">
        <v>45777</v>
      </c>
      <c r="C92" s="17" t="n">
        <v>45778</v>
      </c>
      <c r="D92" s="16" t="s">
        <v>47</v>
      </c>
      <c r="E92" s="16" t="s">
        <v>26</v>
      </c>
      <c r="F92" s="16" t="s">
        <v>59</v>
      </c>
      <c r="G92" s="16" t="s">
        <v>60</v>
      </c>
      <c r="H92" s="16" t="s">
        <v>29</v>
      </c>
      <c r="I92" s="16" t="s">
        <v>78</v>
      </c>
      <c r="J92" s="16" t="n">
        <v>3</v>
      </c>
      <c r="K92" s="18" t="n">
        <v>0.3</v>
      </c>
      <c r="L92" s="19" t="n">
        <v>31072.71</v>
      </c>
      <c r="M92" s="19" t="n">
        <v>4723.3</v>
      </c>
    </row>
    <row r="93" customFormat="false" ht="15" hidden="false" customHeight="false" outlineLevel="0" collapsed="false">
      <c r="A93" s="16" t="s">
        <v>159</v>
      </c>
      <c r="B93" s="17" t="n">
        <v>45712</v>
      </c>
      <c r="C93" s="17" t="n">
        <v>45715</v>
      </c>
      <c r="D93" s="16" t="s">
        <v>47</v>
      </c>
      <c r="E93" s="16" t="s">
        <v>42</v>
      </c>
      <c r="F93" s="16" t="s">
        <v>59</v>
      </c>
      <c r="G93" s="16" t="s">
        <v>71</v>
      </c>
      <c r="H93" s="16" t="s">
        <v>34</v>
      </c>
      <c r="I93" s="16" t="s">
        <v>61</v>
      </c>
      <c r="J93" s="16" t="n">
        <v>6</v>
      </c>
      <c r="K93" s="18" t="n">
        <v>0.5</v>
      </c>
      <c r="L93" s="19" t="n">
        <v>31655.15</v>
      </c>
      <c r="M93" s="19" t="n">
        <v>-3654.68</v>
      </c>
    </row>
    <row r="94" customFormat="false" ht="15" hidden="false" customHeight="false" outlineLevel="0" collapsed="false">
      <c r="A94" s="16" t="s">
        <v>160</v>
      </c>
      <c r="B94" s="17" t="n">
        <v>45402</v>
      </c>
      <c r="C94" s="17" t="n">
        <v>45405</v>
      </c>
      <c r="D94" s="16" t="s">
        <v>41</v>
      </c>
      <c r="E94" s="16" t="s">
        <v>42</v>
      </c>
      <c r="F94" s="16" t="s">
        <v>59</v>
      </c>
      <c r="G94" s="16" t="s">
        <v>71</v>
      </c>
      <c r="H94" s="16" t="s">
        <v>34</v>
      </c>
      <c r="I94" s="16" t="s">
        <v>57</v>
      </c>
      <c r="J94" s="16" t="n">
        <v>7</v>
      </c>
      <c r="K94" s="18" t="n">
        <v>0</v>
      </c>
      <c r="L94" s="19" t="n">
        <v>345645.8</v>
      </c>
      <c r="M94" s="19" t="n">
        <v>39886.47</v>
      </c>
    </row>
    <row r="95" customFormat="false" ht="15" hidden="false" customHeight="false" outlineLevel="0" collapsed="false">
      <c r="A95" s="16" t="s">
        <v>161</v>
      </c>
      <c r="B95" s="17" t="n">
        <v>45965</v>
      </c>
      <c r="C95" s="17" t="n">
        <v>45972</v>
      </c>
      <c r="D95" s="16" t="s">
        <v>47</v>
      </c>
      <c r="E95" s="16" t="s">
        <v>48</v>
      </c>
      <c r="F95" s="16" t="s">
        <v>59</v>
      </c>
      <c r="G95" s="16" t="s">
        <v>66</v>
      </c>
      <c r="H95" s="16" t="s">
        <v>34</v>
      </c>
      <c r="I95" s="16" t="s">
        <v>57</v>
      </c>
      <c r="J95" s="16" t="n">
        <v>6</v>
      </c>
      <c r="K95" s="18" t="n">
        <v>0.4</v>
      </c>
      <c r="L95" s="19" t="n">
        <v>35568.76</v>
      </c>
      <c r="M95" s="19" t="n">
        <v>-7407.15</v>
      </c>
    </row>
    <row r="96" customFormat="false" ht="15" hidden="false" customHeight="false" outlineLevel="0" collapsed="false">
      <c r="A96" s="16" t="s">
        <v>162</v>
      </c>
      <c r="B96" s="17" t="n">
        <v>45940</v>
      </c>
      <c r="C96" s="17" t="n">
        <v>45941</v>
      </c>
      <c r="D96" s="16" t="s">
        <v>47</v>
      </c>
      <c r="E96" s="16" t="s">
        <v>48</v>
      </c>
      <c r="F96" s="16" t="s">
        <v>55</v>
      </c>
      <c r="G96" s="16" t="s">
        <v>56</v>
      </c>
      <c r="H96" s="16" t="s">
        <v>29</v>
      </c>
      <c r="I96" s="16" t="s">
        <v>39</v>
      </c>
      <c r="J96" s="16" t="n">
        <v>3</v>
      </c>
      <c r="K96" s="18" t="n">
        <v>0</v>
      </c>
      <c r="L96" s="19" t="n">
        <v>31533.66</v>
      </c>
      <c r="M96" s="19" t="n">
        <v>8829.59</v>
      </c>
    </row>
    <row r="97" customFormat="false" ht="15" hidden="false" customHeight="false" outlineLevel="0" collapsed="false">
      <c r="A97" s="16" t="s">
        <v>163</v>
      </c>
      <c r="B97" s="17" t="n">
        <v>45451</v>
      </c>
      <c r="C97" s="17" t="n">
        <v>45453</v>
      </c>
      <c r="D97" s="16" t="s">
        <v>32</v>
      </c>
      <c r="E97" s="16" t="s">
        <v>48</v>
      </c>
      <c r="F97" s="16" t="s">
        <v>59</v>
      </c>
      <c r="G97" s="16" t="s">
        <v>71</v>
      </c>
      <c r="H97" s="16" t="s">
        <v>34</v>
      </c>
      <c r="I97" s="16" t="s">
        <v>35</v>
      </c>
      <c r="J97" s="16" t="n">
        <v>8</v>
      </c>
      <c r="K97" s="18" t="n">
        <v>0</v>
      </c>
      <c r="L97" s="19" t="n">
        <v>112886.28</v>
      </c>
      <c r="M97" s="19" t="n">
        <v>-4842.4</v>
      </c>
    </row>
    <row r="98" customFormat="false" ht="15" hidden="false" customHeight="false" outlineLevel="0" collapsed="false">
      <c r="A98" s="16" t="s">
        <v>164</v>
      </c>
      <c r="B98" s="17" t="n">
        <v>45405</v>
      </c>
      <c r="C98" s="17" t="n">
        <v>45408</v>
      </c>
      <c r="D98" s="16" t="s">
        <v>32</v>
      </c>
      <c r="E98" s="16" t="s">
        <v>26</v>
      </c>
      <c r="F98" s="16" t="s">
        <v>37</v>
      </c>
      <c r="G98" s="16" t="s">
        <v>38</v>
      </c>
      <c r="H98" s="16" t="s">
        <v>34</v>
      </c>
      <c r="I98" s="16" t="s">
        <v>61</v>
      </c>
      <c r="J98" s="16" t="n">
        <v>10</v>
      </c>
      <c r="K98" s="18" t="n">
        <v>0.1</v>
      </c>
      <c r="L98" s="19" t="n">
        <v>511213.13</v>
      </c>
      <c r="M98" s="19" t="n">
        <v>106586.17</v>
      </c>
    </row>
    <row r="99" customFormat="false" ht="15" hidden="false" customHeight="false" outlineLevel="0" collapsed="false">
      <c r="A99" s="16" t="s">
        <v>165</v>
      </c>
      <c r="B99" s="17" t="n">
        <v>45588</v>
      </c>
      <c r="C99" s="17" t="n">
        <v>45591</v>
      </c>
      <c r="D99" s="16" t="s">
        <v>41</v>
      </c>
      <c r="E99" s="16" t="s">
        <v>26</v>
      </c>
      <c r="F99" s="16" t="s">
        <v>55</v>
      </c>
      <c r="G99" s="16" t="s">
        <v>56</v>
      </c>
      <c r="H99" s="16" t="s">
        <v>29</v>
      </c>
      <c r="I99" s="16" t="s">
        <v>78</v>
      </c>
      <c r="J99" s="16" t="n">
        <v>7</v>
      </c>
      <c r="K99" s="18" t="n">
        <v>0.3</v>
      </c>
      <c r="L99" s="19" t="n">
        <v>69822.03</v>
      </c>
      <c r="M99" s="19" t="n">
        <v>-14436.03</v>
      </c>
    </row>
    <row r="100" customFormat="false" ht="15" hidden="false" customHeight="false" outlineLevel="0" collapsed="false">
      <c r="A100" s="16" t="s">
        <v>166</v>
      </c>
      <c r="B100" s="17" t="n">
        <v>45335</v>
      </c>
      <c r="C100" s="17" t="n">
        <v>45339</v>
      </c>
      <c r="D100" s="16" t="s">
        <v>32</v>
      </c>
      <c r="E100" s="16" t="s">
        <v>42</v>
      </c>
      <c r="F100" s="16" t="s">
        <v>59</v>
      </c>
      <c r="G100" s="16" t="s">
        <v>71</v>
      </c>
      <c r="H100" s="16" t="s">
        <v>29</v>
      </c>
      <c r="I100" s="16" t="s">
        <v>107</v>
      </c>
      <c r="J100" s="16" t="n">
        <v>10</v>
      </c>
      <c r="K100" s="18" t="n">
        <v>0.4</v>
      </c>
      <c r="L100" s="19" t="n">
        <v>67810.36</v>
      </c>
      <c r="M100" s="19" t="n">
        <v>-16104.02</v>
      </c>
    </row>
    <row r="101" customFormat="false" ht="15" hidden="false" customHeight="false" outlineLevel="0" collapsed="false">
      <c r="A101" s="16" t="s">
        <v>167</v>
      </c>
      <c r="B101" s="17" t="n">
        <v>45624</v>
      </c>
      <c r="C101" s="17" t="n">
        <v>45626</v>
      </c>
      <c r="D101" s="16" t="s">
        <v>25</v>
      </c>
      <c r="E101" s="16" t="s">
        <v>48</v>
      </c>
      <c r="F101" s="16" t="s">
        <v>37</v>
      </c>
      <c r="G101" s="16" t="s">
        <v>38</v>
      </c>
      <c r="H101" s="16" t="s">
        <v>34</v>
      </c>
      <c r="I101" s="16" t="s">
        <v>61</v>
      </c>
      <c r="J101" s="16" t="n">
        <v>4</v>
      </c>
      <c r="K101" s="18" t="n">
        <v>0.2</v>
      </c>
      <c r="L101" s="19" t="n">
        <v>19522.73</v>
      </c>
      <c r="M101" s="19" t="n">
        <v>3855.41</v>
      </c>
    </row>
    <row r="102" customFormat="false" ht="15" hidden="false" customHeight="false" outlineLevel="0" collapsed="false">
      <c r="A102" s="16" t="s">
        <v>168</v>
      </c>
      <c r="B102" s="17" t="n">
        <v>45518</v>
      </c>
      <c r="C102" s="17" t="n">
        <v>45521</v>
      </c>
      <c r="D102" s="16" t="s">
        <v>47</v>
      </c>
      <c r="E102" s="16" t="s">
        <v>48</v>
      </c>
      <c r="F102" s="16" t="s">
        <v>59</v>
      </c>
      <c r="G102" s="16" t="s">
        <v>66</v>
      </c>
      <c r="H102" s="16" t="s">
        <v>29</v>
      </c>
      <c r="I102" s="16" t="s">
        <v>78</v>
      </c>
      <c r="J102" s="16" t="n">
        <v>12</v>
      </c>
      <c r="K102" s="18" t="n">
        <v>0</v>
      </c>
      <c r="L102" s="19" t="n">
        <v>288469.64</v>
      </c>
      <c r="M102" s="19" t="n">
        <v>-46770.58</v>
      </c>
    </row>
    <row r="103" customFormat="false" ht="15" hidden="false" customHeight="false" outlineLevel="0" collapsed="false">
      <c r="A103" s="16" t="s">
        <v>169</v>
      </c>
      <c r="B103" s="17" t="n">
        <v>45494</v>
      </c>
      <c r="C103" s="17" t="n">
        <v>45496</v>
      </c>
      <c r="D103" s="16" t="s">
        <v>32</v>
      </c>
      <c r="E103" s="16" t="s">
        <v>42</v>
      </c>
      <c r="F103" s="16" t="s">
        <v>59</v>
      </c>
      <c r="G103" s="16" t="s">
        <v>66</v>
      </c>
      <c r="H103" s="16" t="s">
        <v>34</v>
      </c>
      <c r="I103" s="16" t="s">
        <v>52</v>
      </c>
      <c r="J103" s="16" t="n">
        <v>8</v>
      </c>
      <c r="K103" s="18" t="n">
        <v>0.3</v>
      </c>
      <c r="L103" s="19" t="n">
        <v>155461.36</v>
      </c>
      <c r="M103" s="19" t="n">
        <v>41748.86</v>
      </c>
    </row>
    <row r="104" customFormat="false" ht="15" hidden="false" customHeight="false" outlineLevel="0" collapsed="false">
      <c r="A104" s="16" t="s">
        <v>170</v>
      </c>
      <c r="B104" s="17" t="n">
        <v>45934</v>
      </c>
      <c r="C104" s="17" t="n">
        <v>45937</v>
      </c>
      <c r="D104" s="16" t="s">
        <v>47</v>
      </c>
      <c r="E104" s="16" t="s">
        <v>48</v>
      </c>
      <c r="F104" s="16" t="s">
        <v>59</v>
      </c>
      <c r="G104" s="16" t="s">
        <v>60</v>
      </c>
      <c r="H104" s="16" t="s">
        <v>29</v>
      </c>
      <c r="I104" s="16" t="s">
        <v>107</v>
      </c>
      <c r="J104" s="16" t="n">
        <v>5</v>
      </c>
      <c r="K104" s="18" t="n">
        <v>0.5</v>
      </c>
      <c r="L104" s="19" t="n">
        <v>39006.64</v>
      </c>
      <c r="M104" s="19" t="n">
        <v>824.92</v>
      </c>
    </row>
    <row r="105" customFormat="false" ht="15" hidden="false" customHeight="false" outlineLevel="0" collapsed="false">
      <c r="A105" s="16" t="s">
        <v>171</v>
      </c>
      <c r="B105" s="17" t="n">
        <v>45350</v>
      </c>
      <c r="C105" s="17" t="n">
        <v>45353</v>
      </c>
      <c r="D105" s="16" t="s">
        <v>25</v>
      </c>
      <c r="E105" s="16" t="s">
        <v>48</v>
      </c>
      <c r="F105" s="16" t="s">
        <v>59</v>
      </c>
      <c r="G105" s="16" t="s">
        <v>60</v>
      </c>
      <c r="H105" s="16" t="s">
        <v>44</v>
      </c>
      <c r="I105" s="16" t="s">
        <v>45</v>
      </c>
      <c r="J105" s="16" t="n">
        <v>8</v>
      </c>
      <c r="K105" s="18" t="n">
        <v>0.5</v>
      </c>
      <c r="L105" s="19" t="n">
        <v>7031.22</v>
      </c>
      <c r="M105" s="19" t="n">
        <v>357.33</v>
      </c>
    </row>
    <row r="106" customFormat="false" ht="15" hidden="false" customHeight="false" outlineLevel="0" collapsed="false">
      <c r="A106" s="16" t="s">
        <v>172</v>
      </c>
      <c r="B106" s="17" t="n">
        <v>45355</v>
      </c>
      <c r="C106" s="17" t="n">
        <v>45359</v>
      </c>
      <c r="D106" s="16" t="s">
        <v>41</v>
      </c>
      <c r="E106" s="16" t="s">
        <v>26</v>
      </c>
      <c r="F106" s="16" t="s">
        <v>59</v>
      </c>
      <c r="G106" s="16" t="s">
        <v>66</v>
      </c>
      <c r="H106" s="16" t="s">
        <v>29</v>
      </c>
      <c r="I106" s="16" t="s">
        <v>30</v>
      </c>
      <c r="J106" s="16" t="n">
        <v>12</v>
      </c>
      <c r="K106" s="18" t="n">
        <v>0.1</v>
      </c>
      <c r="L106" s="19" t="n">
        <v>130339.16</v>
      </c>
      <c r="M106" s="19" t="n">
        <v>-4126.7</v>
      </c>
    </row>
    <row r="107" customFormat="false" ht="15" hidden="false" customHeight="false" outlineLevel="0" collapsed="false">
      <c r="A107" s="16" t="s">
        <v>173</v>
      </c>
      <c r="B107" s="17" t="n">
        <v>45581</v>
      </c>
      <c r="C107" s="17" t="n">
        <v>45585</v>
      </c>
      <c r="D107" s="16" t="s">
        <v>47</v>
      </c>
      <c r="E107" s="16" t="s">
        <v>26</v>
      </c>
      <c r="F107" s="16" t="s">
        <v>59</v>
      </c>
      <c r="G107" s="16" t="s">
        <v>71</v>
      </c>
      <c r="H107" s="16" t="s">
        <v>44</v>
      </c>
      <c r="I107" s="16" t="s">
        <v>80</v>
      </c>
      <c r="J107" s="16" t="n">
        <v>2</v>
      </c>
      <c r="K107" s="18" t="n">
        <v>0.1</v>
      </c>
      <c r="L107" s="19" t="n">
        <v>2197.87</v>
      </c>
      <c r="M107" s="19" t="n">
        <v>-109.86</v>
      </c>
    </row>
    <row r="108" customFormat="false" ht="15" hidden="false" customHeight="false" outlineLevel="0" collapsed="false">
      <c r="A108" s="16" t="s">
        <v>174</v>
      </c>
      <c r="B108" s="17" t="n">
        <v>45888</v>
      </c>
      <c r="C108" s="17" t="n">
        <v>45894</v>
      </c>
      <c r="D108" s="16" t="s">
        <v>25</v>
      </c>
      <c r="E108" s="16" t="s">
        <v>26</v>
      </c>
      <c r="F108" s="16" t="s">
        <v>37</v>
      </c>
      <c r="G108" s="16" t="s">
        <v>91</v>
      </c>
      <c r="H108" s="16" t="s">
        <v>29</v>
      </c>
      <c r="I108" s="16" t="s">
        <v>30</v>
      </c>
      <c r="J108" s="16" t="n">
        <v>5</v>
      </c>
      <c r="K108" s="18" t="n">
        <v>0.1</v>
      </c>
      <c r="L108" s="19" t="n">
        <v>66848.43</v>
      </c>
      <c r="M108" s="19" t="n">
        <v>10165.63</v>
      </c>
    </row>
    <row r="109" customFormat="false" ht="15" hidden="false" customHeight="false" outlineLevel="0" collapsed="false">
      <c r="A109" s="16" t="s">
        <v>175</v>
      </c>
      <c r="B109" s="17" t="n">
        <v>45993</v>
      </c>
      <c r="C109" s="17" t="n">
        <v>45998</v>
      </c>
      <c r="D109" s="16" t="s">
        <v>47</v>
      </c>
      <c r="E109" s="16" t="s">
        <v>48</v>
      </c>
      <c r="F109" s="16" t="s">
        <v>37</v>
      </c>
      <c r="G109" s="16" t="s">
        <v>38</v>
      </c>
      <c r="H109" s="16" t="s">
        <v>29</v>
      </c>
      <c r="I109" s="16" t="s">
        <v>107</v>
      </c>
      <c r="J109" s="16" t="n">
        <v>3</v>
      </c>
      <c r="K109" s="18" t="n">
        <v>0.15</v>
      </c>
      <c r="L109" s="19" t="n">
        <v>60886.08</v>
      </c>
      <c r="M109" s="19" t="n">
        <v>-6945.53</v>
      </c>
    </row>
    <row r="110" customFormat="false" ht="15" hidden="false" customHeight="false" outlineLevel="0" collapsed="false">
      <c r="A110" s="16" t="s">
        <v>176</v>
      </c>
      <c r="B110" s="17" t="n">
        <v>45432</v>
      </c>
      <c r="C110" s="17" t="n">
        <v>45434</v>
      </c>
      <c r="D110" s="16" t="s">
        <v>47</v>
      </c>
      <c r="E110" s="16" t="s">
        <v>42</v>
      </c>
      <c r="F110" s="16" t="s">
        <v>59</v>
      </c>
      <c r="G110" s="16" t="s">
        <v>75</v>
      </c>
      <c r="H110" s="16" t="s">
        <v>29</v>
      </c>
      <c r="I110" s="16" t="s">
        <v>30</v>
      </c>
      <c r="J110" s="16" t="n">
        <v>10</v>
      </c>
      <c r="K110" s="18" t="n">
        <v>0.1</v>
      </c>
      <c r="L110" s="19" t="n">
        <v>45127.15</v>
      </c>
      <c r="M110" s="19" t="n">
        <v>8245.17</v>
      </c>
    </row>
    <row r="111" customFormat="false" ht="15" hidden="false" customHeight="false" outlineLevel="0" collapsed="false">
      <c r="A111" s="16" t="s">
        <v>177</v>
      </c>
      <c r="B111" s="17" t="n">
        <v>45336</v>
      </c>
      <c r="C111" s="17" t="n">
        <v>45340</v>
      </c>
      <c r="D111" s="16" t="s">
        <v>47</v>
      </c>
      <c r="E111" s="16" t="s">
        <v>42</v>
      </c>
      <c r="F111" s="16" t="s">
        <v>27</v>
      </c>
      <c r="G111" s="16" t="s">
        <v>33</v>
      </c>
      <c r="H111" s="16" t="s">
        <v>44</v>
      </c>
      <c r="I111" s="16" t="s">
        <v>63</v>
      </c>
      <c r="J111" s="16" t="n">
        <v>12</v>
      </c>
      <c r="K111" s="18" t="n">
        <v>0.5</v>
      </c>
      <c r="L111" s="19" t="n">
        <v>4671.65</v>
      </c>
      <c r="M111" s="19" t="n">
        <v>1365.92</v>
      </c>
    </row>
    <row r="112" customFormat="false" ht="15" hidden="false" customHeight="false" outlineLevel="0" collapsed="false">
      <c r="A112" s="16" t="s">
        <v>178</v>
      </c>
      <c r="B112" s="17" t="n">
        <v>45490</v>
      </c>
      <c r="C112" s="17" t="n">
        <v>45493</v>
      </c>
      <c r="D112" s="16" t="s">
        <v>32</v>
      </c>
      <c r="E112" s="16" t="s">
        <v>48</v>
      </c>
      <c r="F112" s="16" t="s">
        <v>55</v>
      </c>
      <c r="G112" s="16" t="s">
        <v>86</v>
      </c>
      <c r="H112" s="16" t="s">
        <v>34</v>
      </c>
      <c r="I112" s="16" t="s">
        <v>61</v>
      </c>
      <c r="J112" s="16" t="n">
        <v>3</v>
      </c>
      <c r="K112" s="18" t="n">
        <v>0.2</v>
      </c>
      <c r="L112" s="19" t="n">
        <v>23031.15</v>
      </c>
      <c r="M112" s="19" t="n">
        <v>-5036.73</v>
      </c>
    </row>
    <row r="113" customFormat="false" ht="15" hidden="false" customHeight="false" outlineLevel="0" collapsed="false">
      <c r="A113" s="16" t="s">
        <v>179</v>
      </c>
      <c r="B113" s="17" t="n">
        <v>45784</v>
      </c>
      <c r="C113" s="17" t="n">
        <v>45791</v>
      </c>
      <c r="D113" s="16" t="s">
        <v>25</v>
      </c>
      <c r="E113" s="16" t="s">
        <v>48</v>
      </c>
      <c r="F113" s="16" t="s">
        <v>59</v>
      </c>
      <c r="G113" s="16" t="s">
        <v>75</v>
      </c>
      <c r="H113" s="16" t="s">
        <v>44</v>
      </c>
      <c r="I113" s="16" t="s">
        <v>98</v>
      </c>
      <c r="J113" s="16" t="n">
        <v>3</v>
      </c>
      <c r="K113" s="18" t="n">
        <v>0.4</v>
      </c>
      <c r="L113" s="19" t="n">
        <v>4905.7</v>
      </c>
      <c r="M113" s="19" t="n">
        <v>-956.47</v>
      </c>
    </row>
    <row r="114" customFormat="false" ht="15" hidden="false" customHeight="false" outlineLevel="0" collapsed="false">
      <c r="A114" s="16" t="s">
        <v>180</v>
      </c>
      <c r="B114" s="17" t="n">
        <v>45519</v>
      </c>
      <c r="C114" s="17" t="n">
        <v>45526</v>
      </c>
      <c r="D114" s="16" t="s">
        <v>32</v>
      </c>
      <c r="E114" s="16" t="s">
        <v>26</v>
      </c>
      <c r="F114" s="16" t="s">
        <v>59</v>
      </c>
      <c r="G114" s="16" t="s">
        <v>60</v>
      </c>
      <c r="H114" s="16" t="s">
        <v>44</v>
      </c>
      <c r="I114" s="16" t="s">
        <v>80</v>
      </c>
      <c r="J114" s="16" t="n">
        <v>9</v>
      </c>
      <c r="K114" s="18" t="n">
        <v>0.15</v>
      </c>
      <c r="L114" s="19" t="n">
        <v>9332.1</v>
      </c>
      <c r="M114" s="19" t="n">
        <v>-2175.2</v>
      </c>
    </row>
    <row r="115" customFormat="false" ht="15" hidden="false" customHeight="false" outlineLevel="0" collapsed="false">
      <c r="A115" s="16" t="s">
        <v>181</v>
      </c>
      <c r="B115" s="17" t="n">
        <v>45393</v>
      </c>
      <c r="C115" s="17" t="n">
        <v>45400</v>
      </c>
      <c r="D115" s="16" t="s">
        <v>47</v>
      </c>
      <c r="E115" s="16" t="s">
        <v>26</v>
      </c>
      <c r="F115" s="16" t="s">
        <v>27</v>
      </c>
      <c r="G115" s="16" t="s">
        <v>28</v>
      </c>
      <c r="H115" s="16" t="s">
        <v>34</v>
      </c>
      <c r="I115" s="16" t="s">
        <v>57</v>
      </c>
      <c r="J115" s="16" t="n">
        <v>8</v>
      </c>
      <c r="K115" s="18" t="n">
        <v>0.5</v>
      </c>
      <c r="L115" s="19" t="n">
        <v>171095.47</v>
      </c>
      <c r="M115" s="19" t="n">
        <v>20396.11</v>
      </c>
    </row>
    <row r="116" customFormat="false" ht="15" hidden="false" customHeight="false" outlineLevel="0" collapsed="false">
      <c r="A116" s="16" t="s">
        <v>182</v>
      </c>
      <c r="B116" s="17" t="n">
        <v>45373</v>
      </c>
      <c r="C116" s="17" t="n">
        <v>45374</v>
      </c>
      <c r="D116" s="16" t="s">
        <v>47</v>
      </c>
      <c r="E116" s="16" t="s">
        <v>26</v>
      </c>
      <c r="F116" s="16" t="s">
        <v>27</v>
      </c>
      <c r="G116" s="16" t="s">
        <v>33</v>
      </c>
      <c r="H116" s="16" t="s">
        <v>44</v>
      </c>
      <c r="I116" s="16" t="s">
        <v>67</v>
      </c>
      <c r="J116" s="16" t="n">
        <v>4</v>
      </c>
      <c r="K116" s="18" t="n">
        <v>0.5</v>
      </c>
      <c r="L116" s="19" t="n">
        <v>476.95</v>
      </c>
      <c r="M116" s="19" t="n">
        <v>-101.26</v>
      </c>
    </row>
    <row r="117" customFormat="false" ht="15" hidden="false" customHeight="false" outlineLevel="0" collapsed="false">
      <c r="A117" s="16" t="s">
        <v>183</v>
      </c>
      <c r="B117" s="17" t="n">
        <v>45803</v>
      </c>
      <c r="C117" s="17" t="n">
        <v>45808</v>
      </c>
      <c r="D117" s="16" t="s">
        <v>32</v>
      </c>
      <c r="E117" s="16" t="s">
        <v>48</v>
      </c>
      <c r="F117" s="16" t="s">
        <v>27</v>
      </c>
      <c r="G117" s="16" t="s">
        <v>28</v>
      </c>
      <c r="H117" s="16" t="s">
        <v>34</v>
      </c>
      <c r="I117" s="16" t="s">
        <v>35</v>
      </c>
      <c r="J117" s="16" t="n">
        <v>1</v>
      </c>
      <c r="K117" s="18" t="n">
        <v>0</v>
      </c>
      <c r="L117" s="19" t="n">
        <v>25869.2</v>
      </c>
      <c r="M117" s="19" t="n">
        <v>1657.98</v>
      </c>
    </row>
    <row r="118" customFormat="false" ht="15" hidden="false" customHeight="false" outlineLevel="0" collapsed="false">
      <c r="A118" s="16" t="s">
        <v>184</v>
      </c>
      <c r="B118" s="17" t="n">
        <v>45661</v>
      </c>
      <c r="C118" s="17" t="n">
        <v>45662</v>
      </c>
      <c r="D118" s="16" t="s">
        <v>32</v>
      </c>
      <c r="E118" s="16" t="s">
        <v>26</v>
      </c>
      <c r="F118" s="16" t="s">
        <v>55</v>
      </c>
      <c r="G118" s="16" t="s">
        <v>56</v>
      </c>
      <c r="H118" s="16" t="s">
        <v>34</v>
      </c>
      <c r="I118" s="16" t="s">
        <v>35</v>
      </c>
      <c r="J118" s="16" t="n">
        <v>6</v>
      </c>
      <c r="K118" s="18" t="n">
        <v>0.3</v>
      </c>
      <c r="L118" s="19" t="n">
        <v>200039.37</v>
      </c>
      <c r="M118" s="19" t="n">
        <v>-21069.04</v>
      </c>
    </row>
    <row r="119" customFormat="false" ht="15" hidden="false" customHeight="false" outlineLevel="0" collapsed="false">
      <c r="A119" s="16" t="s">
        <v>185</v>
      </c>
      <c r="B119" s="17" t="n">
        <v>45964</v>
      </c>
      <c r="C119" s="17" t="n">
        <v>45970</v>
      </c>
      <c r="D119" s="16" t="s">
        <v>47</v>
      </c>
      <c r="E119" s="16" t="s">
        <v>48</v>
      </c>
      <c r="F119" s="16" t="s">
        <v>27</v>
      </c>
      <c r="G119" s="16" t="s">
        <v>82</v>
      </c>
      <c r="H119" s="16" t="s">
        <v>29</v>
      </c>
      <c r="I119" s="16" t="s">
        <v>30</v>
      </c>
      <c r="J119" s="16" t="n">
        <v>11</v>
      </c>
      <c r="K119" s="18" t="n">
        <v>0.5</v>
      </c>
      <c r="L119" s="19" t="n">
        <v>33148.77</v>
      </c>
      <c r="M119" s="19" t="n">
        <v>4277.57</v>
      </c>
    </row>
    <row r="120" customFormat="false" ht="15" hidden="false" customHeight="false" outlineLevel="0" collapsed="false">
      <c r="A120" s="16" t="s">
        <v>186</v>
      </c>
      <c r="B120" s="17" t="n">
        <v>45430</v>
      </c>
      <c r="C120" s="17" t="n">
        <v>45431</v>
      </c>
      <c r="D120" s="16" t="s">
        <v>25</v>
      </c>
      <c r="E120" s="16" t="s">
        <v>26</v>
      </c>
      <c r="F120" s="16" t="s">
        <v>59</v>
      </c>
      <c r="G120" s="16" t="s">
        <v>71</v>
      </c>
      <c r="H120" s="16" t="s">
        <v>34</v>
      </c>
      <c r="I120" s="16" t="s">
        <v>61</v>
      </c>
      <c r="J120" s="16" t="n">
        <v>4</v>
      </c>
      <c r="K120" s="18" t="n">
        <v>0.4</v>
      </c>
      <c r="L120" s="19" t="n">
        <v>47134.65</v>
      </c>
      <c r="M120" s="19" t="n">
        <v>16189.51</v>
      </c>
    </row>
    <row r="121" customFormat="false" ht="15" hidden="false" customHeight="false" outlineLevel="0" collapsed="false">
      <c r="A121" s="16" t="s">
        <v>187</v>
      </c>
      <c r="B121" s="17" t="n">
        <v>45848</v>
      </c>
      <c r="C121" s="17" t="n">
        <v>45852</v>
      </c>
      <c r="D121" s="16" t="s">
        <v>25</v>
      </c>
      <c r="E121" s="16" t="s">
        <v>48</v>
      </c>
      <c r="F121" s="16" t="s">
        <v>27</v>
      </c>
      <c r="G121" s="16" t="s">
        <v>73</v>
      </c>
      <c r="H121" s="16" t="s">
        <v>44</v>
      </c>
      <c r="I121" s="16" t="s">
        <v>45</v>
      </c>
      <c r="J121" s="16" t="n">
        <v>11</v>
      </c>
      <c r="K121" s="18" t="n">
        <v>0.4</v>
      </c>
      <c r="L121" s="19" t="n">
        <v>3042.45</v>
      </c>
      <c r="M121" s="19" t="n">
        <v>596.27</v>
      </c>
    </row>
    <row r="122" customFormat="false" ht="15" hidden="false" customHeight="false" outlineLevel="0" collapsed="false">
      <c r="A122" s="16" t="s">
        <v>188</v>
      </c>
      <c r="B122" s="17" t="n">
        <v>45687</v>
      </c>
      <c r="C122" s="17" t="n">
        <v>45690</v>
      </c>
      <c r="D122" s="16" t="s">
        <v>47</v>
      </c>
      <c r="E122" s="16" t="s">
        <v>42</v>
      </c>
      <c r="F122" s="16" t="s">
        <v>55</v>
      </c>
      <c r="G122" s="16" t="s">
        <v>86</v>
      </c>
      <c r="H122" s="16" t="s">
        <v>29</v>
      </c>
      <c r="I122" s="16" t="s">
        <v>107</v>
      </c>
      <c r="J122" s="16" t="n">
        <v>2</v>
      </c>
      <c r="K122" s="18" t="n">
        <v>0.1</v>
      </c>
      <c r="L122" s="19" t="n">
        <v>33701.17</v>
      </c>
      <c r="M122" s="19" t="n">
        <v>2604.58</v>
      </c>
    </row>
    <row r="123" customFormat="false" ht="15" hidden="false" customHeight="false" outlineLevel="0" collapsed="false">
      <c r="A123" s="16" t="s">
        <v>189</v>
      </c>
      <c r="B123" s="17" t="n">
        <v>45620</v>
      </c>
      <c r="C123" s="17" t="n">
        <v>45621</v>
      </c>
      <c r="D123" s="16" t="s">
        <v>32</v>
      </c>
      <c r="E123" s="16" t="s">
        <v>48</v>
      </c>
      <c r="F123" s="16" t="s">
        <v>37</v>
      </c>
      <c r="G123" s="16" t="s">
        <v>43</v>
      </c>
      <c r="H123" s="16" t="s">
        <v>29</v>
      </c>
      <c r="I123" s="16" t="s">
        <v>30</v>
      </c>
      <c r="J123" s="16" t="n">
        <v>3</v>
      </c>
      <c r="K123" s="18" t="n">
        <v>0.3</v>
      </c>
      <c r="L123" s="19" t="n">
        <v>37515.64</v>
      </c>
      <c r="M123" s="19" t="n">
        <v>4461.02</v>
      </c>
    </row>
    <row r="124" customFormat="false" ht="15" hidden="false" customHeight="false" outlineLevel="0" collapsed="false">
      <c r="A124" s="16" t="s">
        <v>190</v>
      </c>
      <c r="B124" s="17" t="n">
        <v>45737</v>
      </c>
      <c r="C124" s="17" t="n">
        <v>45740</v>
      </c>
      <c r="D124" s="16" t="s">
        <v>41</v>
      </c>
      <c r="E124" s="16" t="s">
        <v>48</v>
      </c>
      <c r="F124" s="16" t="s">
        <v>59</v>
      </c>
      <c r="G124" s="16" t="s">
        <v>60</v>
      </c>
      <c r="H124" s="16" t="s">
        <v>34</v>
      </c>
      <c r="I124" s="16" t="s">
        <v>35</v>
      </c>
      <c r="J124" s="16" t="n">
        <v>1</v>
      </c>
      <c r="K124" s="18" t="n">
        <v>0</v>
      </c>
      <c r="L124" s="19" t="n">
        <v>47206.75</v>
      </c>
      <c r="M124" s="19" t="n">
        <v>-8226.34</v>
      </c>
    </row>
    <row r="125" customFormat="false" ht="15" hidden="false" customHeight="false" outlineLevel="0" collapsed="false">
      <c r="A125" s="16" t="s">
        <v>191</v>
      </c>
      <c r="B125" s="17" t="n">
        <v>45533</v>
      </c>
      <c r="C125" s="17" t="n">
        <v>45540</v>
      </c>
      <c r="D125" s="16" t="s">
        <v>25</v>
      </c>
      <c r="E125" s="16" t="s">
        <v>42</v>
      </c>
      <c r="F125" s="16" t="s">
        <v>37</v>
      </c>
      <c r="G125" s="16" t="s">
        <v>91</v>
      </c>
      <c r="H125" s="16" t="s">
        <v>34</v>
      </c>
      <c r="I125" s="16" t="s">
        <v>57</v>
      </c>
      <c r="J125" s="16" t="n">
        <v>10</v>
      </c>
      <c r="K125" s="18" t="n">
        <v>0.5</v>
      </c>
      <c r="L125" s="19" t="n">
        <v>116007.12</v>
      </c>
      <c r="M125" s="19" t="n">
        <v>24112.16</v>
      </c>
    </row>
    <row r="126" customFormat="false" ht="15" hidden="false" customHeight="false" outlineLevel="0" collapsed="false">
      <c r="A126" s="16" t="s">
        <v>192</v>
      </c>
      <c r="B126" s="17" t="n">
        <v>45879</v>
      </c>
      <c r="C126" s="17" t="n">
        <v>45881</v>
      </c>
      <c r="D126" s="16" t="s">
        <v>47</v>
      </c>
      <c r="E126" s="16" t="s">
        <v>42</v>
      </c>
      <c r="F126" s="16" t="s">
        <v>55</v>
      </c>
      <c r="G126" s="16" t="s">
        <v>86</v>
      </c>
      <c r="H126" s="16" t="s">
        <v>34</v>
      </c>
      <c r="I126" s="16" t="s">
        <v>57</v>
      </c>
      <c r="J126" s="16" t="n">
        <v>4</v>
      </c>
      <c r="K126" s="18" t="n">
        <v>0.4</v>
      </c>
      <c r="L126" s="19" t="n">
        <v>29721.15</v>
      </c>
      <c r="M126" s="19" t="n">
        <v>8860.63</v>
      </c>
    </row>
    <row r="127" customFormat="false" ht="15" hidden="false" customHeight="false" outlineLevel="0" collapsed="false">
      <c r="A127" s="16" t="s">
        <v>193</v>
      </c>
      <c r="B127" s="17" t="n">
        <v>45412</v>
      </c>
      <c r="C127" s="17" t="n">
        <v>45415</v>
      </c>
      <c r="D127" s="16" t="s">
        <v>47</v>
      </c>
      <c r="E127" s="16" t="s">
        <v>42</v>
      </c>
      <c r="F127" s="16" t="s">
        <v>55</v>
      </c>
      <c r="G127" s="16" t="s">
        <v>69</v>
      </c>
      <c r="H127" s="16" t="s">
        <v>44</v>
      </c>
      <c r="I127" s="16" t="s">
        <v>63</v>
      </c>
      <c r="J127" s="16" t="n">
        <v>12</v>
      </c>
      <c r="K127" s="18" t="n">
        <v>0</v>
      </c>
      <c r="L127" s="19" t="n">
        <v>18293.77</v>
      </c>
      <c r="M127" s="19" t="n">
        <v>388.3</v>
      </c>
    </row>
    <row r="128" customFormat="false" ht="15" hidden="false" customHeight="false" outlineLevel="0" collapsed="false">
      <c r="A128" s="16" t="s">
        <v>194</v>
      </c>
      <c r="B128" s="17" t="n">
        <v>46022</v>
      </c>
      <c r="C128" s="17" t="n">
        <v>46026</v>
      </c>
      <c r="D128" s="16" t="s">
        <v>47</v>
      </c>
      <c r="E128" s="16" t="s">
        <v>42</v>
      </c>
      <c r="F128" s="16" t="s">
        <v>37</v>
      </c>
      <c r="G128" s="16" t="s">
        <v>38</v>
      </c>
      <c r="H128" s="16" t="s">
        <v>29</v>
      </c>
      <c r="I128" s="16" t="s">
        <v>30</v>
      </c>
      <c r="J128" s="16" t="n">
        <v>5</v>
      </c>
      <c r="K128" s="18" t="n">
        <v>0.1</v>
      </c>
      <c r="L128" s="19" t="n">
        <v>97115.97</v>
      </c>
      <c r="M128" s="19" t="n">
        <v>21969.36</v>
      </c>
    </row>
    <row r="129" customFormat="false" ht="15" hidden="false" customHeight="false" outlineLevel="0" collapsed="false">
      <c r="A129" s="16" t="s">
        <v>195</v>
      </c>
      <c r="B129" s="17" t="n">
        <v>45812</v>
      </c>
      <c r="C129" s="17" t="n">
        <v>45814</v>
      </c>
      <c r="D129" s="16" t="s">
        <v>25</v>
      </c>
      <c r="E129" s="16" t="s">
        <v>48</v>
      </c>
      <c r="F129" s="16" t="s">
        <v>27</v>
      </c>
      <c r="G129" s="16" t="s">
        <v>28</v>
      </c>
      <c r="H129" s="16" t="s">
        <v>29</v>
      </c>
      <c r="I129" s="16" t="s">
        <v>39</v>
      </c>
      <c r="J129" s="16" t="n">
        <v>6</v>
      </c>
      <c r="K129" s="18" t="n">
        <v>0.1</v>
      </c>
      <c r="L129" s="19" t="n">
        <v>79609.46</v>
      </c>
      <c r="M129" s="19" t="n">
        <v>9327.76</v>
      </c>
    </row>
    <row r="130" customFormat="false" ht="15" hidden="false" customHeight="false" outlineLevel="0" collapsed="false">
      <c r="A130" s="16" t="s">
        <v>196</v>
      </c>
      <c r="B130" s="17" t="n">
        <v>45380</v>
      </c>
      <c r="C130" s="17" t="n">
        <v>45381</v>
      </c>
      <c r="D130" s="16" t="s">
        <v>25</v>
      </c>
      <c r="E130" s="16" t="s">
        <v>48</v>
      </c>
      <c r="F130" s="16" t="s">
        <v>55</v>
      </c>
      <c r="G130" s="16" t="s">
        <v>56</v>
      </c>
      <c r="H130" s="16" t="s">
        <v>44</v>
      </c>
      <c r="I130" s="16" t="s">
        <v>50</v>
      </c>
      <c r="J130" s="16" t="n">
        <v>3</v>
      </c>
      <c r="K130" s="18" t="n">
        <v>0.3</v>
      </c>
      <c r="L130" s="19" t="n">
        <v>4121.84</v>
      </c>
      <c r="M130" s="19" t="n">
        <v>-713.08</v>
      </c>
    </row>
    <row r="131" customFormat="false" ht="15" hidden="false" customHeight="false" outlineLevel="0" collapsed="false">
      <c r="A131" s="16" t="s">
        <v>197</v>
      </c>
      <c r="B131" s="17" t="n">
        <v>45856</v>
      </c>
      <c r="C131" s="17" t="n">
        <v>45862</v>
      </c>
      <c r="D131" s="16" t="s">
        <v>25</v>
      </c>
      <c r="E131" s="16" t="s">
        <v>42</v>
      </c>
      <c r="F131" s="16" t="s">
        <v>27</v>
      </c>
      <c r="G131" s="16" t="s">
        <v>33</v>
      </c>
      <c r="H131" s="16" t="s">
        <v>34</v>
      </c>
      <c r="I131" s="16" t="s">
        <v>52</v>
      </c>
      <c r="J131" s="16" t="n">
        <v>2</v>
      </c>
      <c r="K131" s="18" t="n">
        <v>0.15</v>
      </c>
      <c r="L131" s="19" t="n">
        <v>18657.61</v>
      </c>
      <c r="M131" s="19" t="n">
        <v>-790.82</v>
      </c>
    </row>
    <row r="132" customFormat="false" ht="15" hidden="false" customHeight="false" outlineLevel="0" collapsed="false">
      <c r="A132" s="16" t="s">
        <v>198</v>
      </c>
      <c r="B132" s="17" t="n">
        <v>45823</v>
      </c>
      <c r="C132" s="17" t="n">
        <v>45826</v>
      </c>
      <c r="D132" s="16" t="s">
        <v>47</v>
      </c>
      <c r="E132" s="16" t="s">
        <v>26</v>
      </c>
      <c r="F132" s="16" t="s">
        <v>27</v>
      </c>
      <c r="G132" s="16" t="s">
        <v>73</v>
      </c>
      <c r="H132" s="16" t="s">
        <v>29</v>
      </c>
      <c r="I132" s="16" t="s">
        <v>30</v>
      </c>
      <c r="J132" s="16" t="n">
        <v>10</v>
      </c>
      <c r="K132" s="18" t="n">
        <v>0.1</v>
      </c>
      <c r="L132" s="19" t="n">
        <v>128429.95</v>
      </c>
      <c r="M132" s="19" t="n">
        <v>-18915.12</v>
      </c>
    </row>
    <row r="133" customFormat="false" ht="15" hidden="false" customHeight="false" outlineLevel="0" collapsed="false">
      <c r="A133" s="16" t="s">
        <v>199</v>
      </c>
      <c r="B133" s="17" t="n">
        <v>45931</v>
      </c>
      <c r="C133" s="17" t="n">
        <v>45937</v>
      </c>
      <c r="D133" s="16" t="s">
        <v>25</v>
      </c>
      <c r="E133" s="16" t="s">
        <v>26</v>
      </c>
      <c r="F133" s="16" t="s">
        <v>59</v>
      </c>
      <c r="G133" s="16" t="s">
        <v>75</v>
      </c>
      <c r="H133" s="16" t="s">
        <v>34</v>
      </c>
      <c r="I133" s="16" t="s">
        <v>57</v>
      </c>
      <c r="J133" s="16" t="n">
        <v>11</v>
      </c>
      <c r="K133" s="18" t="n">
        <v>0.4</v>
      </c>
      <c r="L133" s="19" t="n">
        <v>91293.12</v>
      </c>
      <c r="M133" s="19" t="n">
        <v>11034.15</v>
      </c>
    </row>
    <row r="134" customFormat="false" ht="15" hidden="false" customHeight="false" outlineLevel="0" collapsed="false">
      <c r="A134" s="16" t="s">
        <v>200</v>
      </c>
      <c r="B134" s="17" t="n">
        <v>45323</v>
      </c>
      <c r="C134" s="17" t="n">
        <v>45327</v>
      </c>
      <c r="D134" s="16" t="s">
        <v>32</v>
      </c>
      <c r="E134" s="16" t="s">
        <v>26</v>
      </c>
      <c r="F134" s="16" t="s">
        <v>37</v>
      </c>
      <c r="G134" s="16" t="s">
        <v>91</v>
      </c>
      <c r="H134" s="16" t="s">
        <v>34</v>
      </c>
      <c r="I134" s="16" t="s">
        <v>57</v>
      </c>
      <c r="J134" s="16" t="n">
        <v>5</v>
      </c>
      <c r="K134" s="18" t="n">
        <v>0.4</v>
      </c>
      <c r="L134" s="19" t="n">
        <v>32243.12</v>
      </c>
      <c r="M134" s="19" t="n">
        <v>1307.48</v>
      </c>
    </row>
    <row r="135" customFormat="false" ht="15" hidden="false" customHeight="false" outlineLevel="0" collapsed="false">
      <c r="A135" s="16" t="s">
        <v>201</v>
      </c>
      <c r="B135" s="17" t="n">
        <v>45500</v>
      </c>
      <c r="C135" s="17" t="n">
        <v>45503</v>
      </c>
      <c r="D135" s="16" t="s">
        <v>47</v>
      </c>
      <c r="E135" s="16" t="s">
        <v>42</v>
      </c>
      <c r="F135" s="16" t="s">
        <v>37</v>
      </c>
      <c r="G135" s="16" t="s">
        <v>43</v>
      </c>
      <c r="H135" s="16" t="s">
        <v>34</v>
      </c>
      <c r="I135" s="16" t="s">
        <v>52</v>
      </c>
      <c r="J135" s="16" t="n">
        <v>7</v>
      </c>
      <c r="K135" s="18" t="n">
        <v>0.3</v>
      </c>
      <c r="L135" s="19" t="n">
        <v>168347.32</v>
      </c>
      <c r="M135" s="19" t="n">
        <v>-17669.28</v>
      </c>
    </row>
    <row r="136" customFormat="false" ht="15" hidden="false" customHeight="false" outlineLevel="0" collapsed="false">
      <c r="A136" s="16" t="s">
        <v>202</v>
      </c>
      <c r="B136" s="17" t="n">
        <v>45417</v>
      </c>
      <c r="C136" s="17" t="n">
        <v>45420</v>
      </c>
      <c r="D136" s="16" t="s">
        <v>47</v>
      </c>
      <c r="E136" s="16" t="s">
        <v>26</v>
      </c>
      <c r="F136" s="16" t="s">
        <v>27</v>
      </c>
      <c r="G136" s="16" t="s">
        <v>82</v>
      </c>
      <c r="H136" s="16" t="s">
        <v>44</v>
      </c>
      <c r="I136" s="16" t="s">
        <v>67</v>
      </c>
      <c r="J136" s="16" t="n">
        <v>7</v>
      </c>
      <c r="K136" s="18" t="n">
        <v>0.1</v>
      </c>
      <c r="L136" s="19" t="n">
        <v>8269.32</v>
      </c>
      <c r="M136" s="19" t="n">
        <v>1968.82</v>
      </c>
    </row>
    <row r="137" customFormat="false" ht="15" hidden="false" customHeight="false" outlineLevel="0" collapsed="false">
      <c r="A137" s="16" t="s">
        <v>203</v>
      </c>
      <c r="B137" s="17" t="n">
        <v>45883</v>
      </c>
      <c r="C137" s="17" t="n">
        <v>45889</v>
      </c>
      <c r="D137" s="16" t="s">
        <v>32</v>
      </c>
      <c r="E137" s="16" t="s">
        <v>42</v>
      </c>
      <c r="F137" s="16" t="s">
        <v>27</v>
      </c>
      <c r="G137" s="16" t="s">
        <v>33</v>
      </c>
      <c r="H137" s="16" t="s">
        <v>44</v>
      </c>
      <c r="I137" s="16" t="s">
        <v>67</v>
      </c>
      <c r="J137" s="16" t="n">
        <v>8</v>
      </c>
      <c r="K137" s="18" t="n">
        <v>0.4</v>
      </c>
      <c r="L137" s="19" t="n">
        <v>7403.39</v>
      </c>
      <c r="M137" s="19" t="n">
        <v>394.35</v>
      </c>
    </row>
    <row r="138" customFormat="false" ht="15" hidden="false" customHeight="false" outlineLevel="0" collapsed="false">
      <c r="A138" s="16" t="s">
        <v>204</v>
      </c>
      <c r="B138" s="17" t="n">
        <v>45538</v>
      </c>
      <c r="C138" s="17" t="n">
        <v>45540</v>
      </c>
      <c r="D138" s="16" t="s">
        <v>32</v>
      </c>
      <c r="E138" s="16" t="s">
        <v>48</v>
      </c>
      <c r="F138" s="16" t="s">
        <v>59</v>
      </c>
      <c r="G138" s="16" t="s">
        <v>75</v>
      </c>
      <c r="H138" s="16" t="s">
        <v>34</v>
      </c>
      <c r="I138" s="16" t="s">
        <v>57</v>
      </c>
      <c r="J138" s="16" t="n">
        <v>10</v>
      </c>
      <c r="K138" s="18" t="n">
        <v>0</v>
      </c>
      <c r="L138" s="19" t="n">
        <v>290293.31</v>
      </c>
      <c r="M138" s="19" t="n">
        <v>74983.75</v>
      </c>
    </row>
    <row r="139" customFormat="false" ht="15" hidden="false" customHeight="false" outlineLevel="0" collapsed="false">
      <c r="A139" s="16" t="s">
        <v>205</v>
      </c>
      <c r="B139" s="17" t="n">
        <v>45733</v>
      </c>
      <c r="C139" s="17" t="n">
        <v>45735</v>
      </c>
      <c r="D139" s="16" t="s">
        <v>25</v>
      </c>
      <c r="E139" s="16" t="s">
        <v>48</v>
      </c>
      <c r="F139" s="16" t="s">
        <v>37</v>
      </c>
      <c r="G139" s="16" t="s">
        <v>91</v>
      </c>
      <c r="H139" s="16" t="s">
        <v>44</v>
      </c>
      <c r="I139" s="16" t="s">
        <v>63</v>
      </c>
      <c r="J139" s="16" t="n">
        <v>7</v>
      </c>
      <c r="K139" s="18" t="n">
        <v>0.2</v>
      </c>
      <c r="L139" s="19" t="n">
        <v>9683.91</v>
      </c>
      <c r="M139" s="19" t="n">
        <v>-1993.73</v>
      </c>
    </row>
    <row r="140" customFormat="false" ht="15" hidden="false" customHeight="false" outlineLevel="0" collapsed="false">
      <c r="A140" s="16" t="s">
        <v>206</v>
      </c>
      <c r="B140" s="17" t="n">
        <v>45808</v>
      </c>
      <c r="C140" s="17" t="n">
        <v>45812</v>
      </c>
      <c r="D140" s="16" t="s">
        <v>32</v>
      </c>
      <c r="E140" s="16" t="s">
        <v>26</v>
      </c>
      <c r="F140" s="16" t="s">
        <v>59</v>
      </c>
      <c r="G140" s="16" t="s">
        <v>66</v>
      </c>
      <c r="H140" s="16" t="s">
        <v>34</v>
      </c>
      <c r="I140" s="16" t="s">
        <v>57</v>
      </c>
      <c r="J140" s="16" t="n">
        <v>6</v>
      </c>
      <c r="K140" s="18" t="n">
        <v>0.1</v>
      </c>
      <c r="L140" s="19" t="n">
        <v>304713.85</v>
      </c>
      <c r="M140" s="19" t="n">
        <v>-39785.05</v>
      </c>
    </row>
    <row r="141" customFormat="false" ht="15" hidden="false" customHeight="false" outlineLevel="0" collapsed="false">
      <c r="A141" s="16" t="s">
        <v>207</v>
      </c>
      <c r="B141" s="17" t="n">
        <v>45813</v>
      </c>
      <c r="C141" s="17" t="n">
        <v>45817</v>
      </c>
      <c r="D141" s="16" t="s">
        <v>47</v>
      </c>
      <c r="E141" s="16" t="s">
        <v>26</v>
      </c>
      <c r="F141" s="16" t="s">
        <v>59</v>
      </c>
      <c r="G141" s="16" t="s">
        <v>75</v>
      </c>
      <c r="H141" s="16" t="s">
        <v>34</v>
      </c>
      <c r="I141" s="16" t="s">
        <v>35</v>
      </c>
      <c r="J141" s="16" t="n">
        <v>8</v>
      </c>
      <c r="K141" s="18" t="n">
        <v>0.1</v>
      </c>
      <c r="L141" s="19" t="n">
        <v>386987.07</v>
      </c>
      <c r="M141" s="19" t="n">
        <v>-20595.64</v>
      </c>
    </row>
    <row r="142" customFormat="false" ht="15" hidden="false" customHeight="false" outlineLevel="0" collapsed="false">
      <c r="A142" s="16" t="s">
        <v>208</v>
      </c>
      <c r="B142" s="17" t="n">
        <v>45919</v>
      </c>
      <c r="C142" s="17" t="n">
        <v>45922</v>
      </c>
      <c r="D142" s="16" t="s">
        <v>32</v>
      </c>
      <c r="E142" s="16" t="s">
        <v>42</v>
      </c>
      <c r="F142" s="16" t="s">
        <v>37</v>
      </c>
      <c r="G142" s="16" t="s">
        <v>43</v>
      </c>
      <c r="H142" s="16" t="s">
        <v>29</v>
      </c>
      <c r="I142" s="16" t="s">
        <v>107</v>
      </c>
      <c r="J142" s="16" t="n">
        <v>12</v>
      </c>
      <c r="K142" s="18" t="n">
        <v>0.3</v>
      </c>
      <c r="L142" s="19" t="n">
        <v>125556.97</v>
      </c>
      <c r="M142" s="19" t="n">
        <v>19371.41</v>
      </c>
    </row>
    <row r="143" customFormat="false" ht="15" hidden="false" customHeight="false" outlineLevel="0" collapsed="false">
      <c r="A143" s="16" t="s">
        <v>209</v>
      </c>
      <c r="B143" s="17" t="n">
        <v>45718</v>
      </c>
      <c r="C143" s="17" t="n">
        <v>45723</v>
      </c>
      <c r="D143" s="16" t="s">
        <v>41</v>
      </c>
      <c r="E143" s="16" t="s">
        <v>48</v>
      </c>
      <c r="F143" s="16" t="s">
        <v>59</v>
      </c>
      <c r="G143" s="16" t="s">
        <v>60</v>
      </c>
      <c r="H143" s="16" t="s">
        <v>44</v>
      </c>
      <c r="I143" s="16" t="s">
        <v>63</v>
      </c>
      <c r="J143" s="16" t="n">
        <v>12</v>
      </c>
      <c r="K143" s="18" t="n">
        <v>0.4</v>
      </c>
      <c r="L143" s="19" t="n">
        <v>10751.77</v>
      </c>
      <c r="M143" s="19" t="n">
        <v>-1734.63</v>
      </c>
    </row>
    <row r="144" customFormat="false" ht="15" hidden="false" customHeight="false" outlineLevel="0" collapsed="false">
      <c r="A144" s="16" t="s">
        <v>210</v>
      </c>
      <c r="B144" s="17" t="n">
        <v>45989</v>
      </c>
      <c r="C144" s="17" t="n">
        <v>45991</v>
      </c>
      <c r="D144" s="16" t="s">
        <v>47</v>
      </c>
      <c r="E144" s="16" t="s">
        <v>48</v>
      </c>
      <c r="F144" s="16" t="s">
        <v>27</v>
      </c>
      <c r="G144" s="16" t="s">
        <v>82</v>
      </c>
      <c r="H144" s="16" t="s">
        <v>29</v>
      </c>
      <c r="I144" s="16" t="s">
        <v>78</v>
      </c>
      <c r="J144" s="16" t="n">
        <v>7</v>
      </c>
      <c r="K144" s="18" t="n">
        <v>0.5</v>
      </c>
      <c r="L144" s="19" t="n">
        <v>19190.22</v>
      </c>
      <c r="M144" s="19" t="n">
        <v>5252.18</v>
      </c>
    </row>
    <row r="145" customFormat="false" ht="15" hidden="false" customHeight="false" outlineLevel="0" collapsed="false">
      <c r="A145" s="16" t="s">
        <v>211</v>
      </c>
      <c r="B145" s="17" t="n">
        <v>45355</v>
      </c>
      <c r="C145" s="17" t="n">
        <v>45361</v>
      </c>
      <c r="D145" s="16" t="s">
        <v>32</v>
      </c>
      <c r="E145" s="16" t="s">
        <v>42</v>
      </c>
      <c r="F145" s="16" t="s">
        <v>37</v>
      </c>
      <c r="G145" s="16" t="s">
        <v>91</v>
      </c>
      <c r="H145" s="16" t="s">
        <v>29</v>
      </c>
      <c r="I145" s="16" t="s">
        <v>39</v>
      </c>
      <c r="J145" s="16" t="n">
        <v>6</v>
      </c>
      <c r="K145" s="18" t="n">
        <v>0.3</v>
      </c>
      <c r="L145" s="19" t="n">
        <v>100815.82</v>
      </c>
      <c r="M145" s="19" t="n">
        <v>15678.99</v>
      </c>
    </row>
    <row r="146" customFormat="false" ht="15" hidden="false" customHeight="false" outlineLevel="0" collapsed="false">
      <c r="A146" s="16" t="s">
        <v>212</v>
      </c>
      <c r="B146" s="17" t="n">
        <v>45989</v>
      </c>
      <c r="C146" s="17" t="n">
        <v>45995</v>
      </c>
      <c r="D146" s="16" t="s">
        <v>47</v>
      </c>
      <c r="E146" s="16" t="s">
        <v>26</v>
      </c>
      <c r="F146" s="16" t="s">
        <v>55</v>
      </c>
      <c r="G146" s="16" t="s">
        <v>69</v>
      </c>
      <c r="H146" s="16" t="s">
        <v>34</v>
      </c>
      <c r="I146" s="16" t="s">
        <v>57</v>
      </c>
      <c r="J146" s="16" t="n">
        <v>9</v>
      </c>
      <c r="K146" s="18" t="n">
        <v>0.2</v>
      </c>
      <c r="L146" s="19" t="n">
        <v>424528.04</v>
      </c>
      <c r="M146" s="19" t="n">
        <v>73418.12</v>
      </c>
    </row>
    <row r="147" customFormat="false" ht="15" hidden="false" customHeight="false" outlineLevel="0" collapsed="false">
      <c r="A147" s="16" t="s">
        <v>213</v>
      </c>
      <c r="B147" s="17" t="n">
        <v>45998</v>
      </c>
      <c r="C147" s="17" t="n">
        <v>46004</v>
      </c>
      <c r="D147" s="16" t="s">
        <v>47</v>
      </c>
      <c r="E147" s="16" t="s">
        <v>42</v>
      </c>
      <c r="F147" s="16" t="s">
        <v>55</v>
      </c>
      <c r="G147" s="16" t="s">
        <v>86</v>
      </c>
      <c r="H147" s="16" t="s">
        <v>44</v>
      </c>
      <c r="I147" s="16" t="s">
        <v>80</v>
      </c>
      <c r="J147" s="16" t="n">
        <v>5</v>
      </c>
      <c r="K147" s="18" t="n">
        <v>0.4</v>
      </c>
      <c r="L147" s="19" t="n">
        <v>6186.61</v>
      </c>
      <c r="M147" s="19" t="n">
        <v>1491.14</v>
      </c>
    </row>
    <row r="148" customFormat="false" ht="15" hidden="false" customHeight="false" outlineLevel="0" collapsed="false">
      <c r="A148" s="16" t="s">
        <v>214</v>
      </c>
      <c r="B148" s="17" t="n">
        <v>45441</v>
      </c>
      <c r="C148" s="17" t="n">
        <v>45444</v>
      </c>
      <c r="D148" s="16" t="s">
        <v>47</v>
      </c>
      <c r="E148" s="16" t="s">
        <v>48</v>
      </c>
      <c r="F148" s="16" t="s">
        <v>59</v>
      </c>
      <c r="G148" s="16" t="s">
        <v>71</v>
      </c>
      <c r="H148" s="16" t="s">
        <v>29</v>
      </c>
      <c r="I148" s="16" t="s">
        <v>30</v>
      </c>
      <c r="J148" s="16" t="n">
        <v>12</v>
      </c>
      <c r="K148" s="18" t="n">
        <v>0.2</v>
      </c>
      <c r="L148" s="19" t="n">
        <v>124980.7</v>
      </c>
      <c r="M148" s="19" t="n">
        <v>-20951.29</v>
      </c>
    </row>
    <row r="149" customFormat="false" ht="15" hidden="false" customHeight="false" outlineLevel="0" collapsed="false">
      <c r="A149" s="16" t="s">
        <v>215</v>
      </c>
      <c r="B149" s="17" t="n">
        <v>45922</v>
      </c>
      <c r="C149" s="17" t="n">
        <v>45928</v>
      </c>
      <c r="D149" s="16" t="s">
        <v>41</v>
      </c>
      <c r="E149" s="16" t="s">
        <v>42</v>
      </c>
      <c r="F149" s="16" t="s">
        <v>27</v>
      </c>
      <c r="G149" s="16" t="s">
        <v>82</v>
      </c>
      <c r="H149" s="16" t="s">
        <v>34</v>
      </c>
      <c r="I149" s="16" t="s">
        <v>52</v>
      </c>
      <c r="J149" s="16" t="n">
        <v>11</v>
      </c>
      <c r="K149" s="18" t="n">
        <v>0.5</v>
      </c>
      <c r="L149" s="19" t="n">
        <v>114521.97</v>
      </c>
      <c r="M149" s="19" t="n">
        <v>-21721.73</v>
      </c>
    </row>
    <row r="150" customFormat="false" ht="15" hidden="false" customHeight="false" outlineLevel="0" collapsed="false">
      <c r="A150" s="16" t="s">
        <v>216</v>
      </c>
      <c r="B150" s="17" t="n">
        <v>45432</v>
      </c>
      <c r="C150" s="17" t="n">
        <v>45433</v>
      </c>
      <c r="D150" s="16" t="s">
        <v>41</v>
      </c>
      <c r="E150" s="16" t="s">
        <v>48</v>
      </c>
      <c r="F150" s="16" t="s">
        <v>55</v>
      </c>
      <c r="G150" s="16" t="s">
        <v>56</v>
      </c>
      <c r="H150" s="16" t="s">
        <v>34</v>
      </c>
      <c r="I150" s="16" t="s">
        <v>52</v>
      </c>
      <c r="J150" s="16" t="n">
        <v>5</v>
      </c>
      <c r="K150" s="18" t="n">
        <v>0</v>
      </c>
      <c r="L150" s="19" t="n">
        <v>273071.56</v>
      </c>
      <c r="M150" s="19" t="n">
        <v>38606.65</v>
      </c>
    </row>
    <row r="151" customFormat="false" ht="15" hidden="false" customHeight="false" outlineLevel="0" collapsed="false">
      <c r="A151" s="16" t="s">
        <v>217</v>
      </c>
      <c r="B151" s="17" t="n">
        <v>45529</v>
      </c>
      <c r="C151" s="17" t="n">
        <v>45534</v>
      </c>
      <c r="D151" s="16" t="s">
        <v>25</v>
      </c>
      <c r="E151" s="16" t="s">
        <v>26</v>
      </c>
      <c r="F151" s="16" t="s">
        <v>27</v>
      </c>
      <c r="G151" s="16" t="s">
        <v>33</v>
      </c>
      <c r="H151" s="16" t="s">
        <v>34</v>
      </c>
      <c r="I151" s="16" t="s">
        <v>35</v>
      </c>
      <c r="J151" s="16" t="n">
        <v>7</v>
      </c>
      <c r="K151" s="18" t="n">
        <v>0.2</v>
      </c>
      <c r="L151" s="19" t="n">
        <v>253773.45</v>
      </c>
      <c r="M151" s="19" t="n">
        <v>70053.12</v>
      </c>
    </row>
    <row r="152" customFormat="false" ht="15" hidden="false" customHeight="false" outlineLevel="0" collapsed="false">
      <c r="A152" s="16" t="s">
        <v>218</v>
      </c>
      <c r="B152" s="17" t="n">
        <v>45301</v>
      </c>
      <c r="C152" s="17" t="n">
        <v>45304</v>
      </c>
      <c r="D152" s="16" t="s">
        <v>32</v>
      </c>
      <c r="E152" s="16" t="s">
        <v>48</v>
      </c>
      <c r="F152" s="16" t="s">
        <v>37</v>
      </c>
      <c r="G152" s="16" t="s">
        <v>43</v>
      </c>
      <c r="H152" s="16" t="s">
        <v>34</v>
      </c>
      <c r="I152" s="16" t="s">
        <v>35</v>
      </c>
      <c r="J152" s="16" t="n">
        <v>3</v>
      </c>
      <c r="K152" s="18" t="n">
        <v>0</v>
      </c>
      <c r="L152" s="19" t="n">
        <v>38338.4</v>
      </c>
      <c r="M152" s="19" t="n">
        <v>-1977.86</v>
      </c>
    </row>
    <row r="153" customFormat="false" ht="15" hidden="false" customHeight="false" outlineLevel="0" collapsed="false">
      <c r="A153" s="16" t="s">
        <v>219</v>
      </c>
      <c r="B153" s="17" t="n">
        <v>45761</v>
      </c>
      <c r="C153" s="17" t="n">
        <v>45767</v>
      </c>
      <c r="D153" s="16" t="s">
        <v>47</v>
      </c>
      <c r="E153" s="16" t="s">
        <v>42</v>
      </c>
      <c r="F153" s="16" t="s">
        <v>27</v>
      </c>
      <c r="G153" s="16" t="s">
        <v>82</v>
      </c>
      <c r="H153" s="16" t="s">
        <v>44</v>
      </c>
      <c r="I153" s="16" t="s">
        <v>63</v>
      </c>
      <c r="J153" s="16" t="n">
        <v>5</v>
      </c>
      <c r="K153" s="18" t="n">
        <v>0.4</v>
      </c>
      <c r="L153" s="19" t="n">
        <v>6888.36</v>
      </c>
      <c r="M153" s="19" t="n">
        <v>1695.87</v>
      </c>
    </row>
    <row r="154" customFormat="false" ht="15" hidden="false" customHeight="false" outlineLevel="0" collapsed="false">
      <c r="A154" s="16" t="s">
        <v>220</v>
      </c>
      <c r="B154" s="17" t="n">
        <v>45819</v>
      </c>
      <c r="C154" s="17" t="n">
        <v>45822</v>
      </c>
      <c r="D154" s="16" t="s">
        <v>32</v>
      </c>
      <c r="E154" s="16" t="s">
        <v>26</v>
      </c>
      <c r="F154" s="16" t="s">
        <v>59</v>
      </c>
      <c r="G154" s="16" t="s">
        <v>66</v>
      </c>
      <c r="H154" s="16" t="s">
        <v>29</v>
      </c>
      <c r="I154" s="16" t="s">
        <v>107</v>
      </c>
      <c r="J154" s="16" t="n">
        <v>6</v>
      </c>
      <c r="K154" s="18" t="n">
        <v>0.5</v>
      </c>
      <c r="L154" s="19" t="n">
        <v>70571.95</v>
      </c>
      <c r="M154" s="19" t="n">
        <v>14273.46</v>
      </c>
    </row>
    <row r="155" customFormat="false" ht="15" hidden="false" customHeight="false" outlineLevel="0" collapsed="false">
      <c r="A155" s="16" t="s">
        <v>221</v>
      </c>
      <c r="B155" s="17" t="n">
        <v>45629</v>
      </c>
      <c r="C155" s="17" t="n">
        <v>45632</v>
      </c>
      <c r="D155" s="16" t="s">
        <v>41</v>
      </c>
      <c r="E155" s="16" t="s">
        <v>42</v>
      </c>
      <c r="F155" s="16" t="s">
        <v>37</v>
      </c>
      <c r="G155" s="16" t="s">
        <v>43</v>
      </c>
      <c r="H155" s="16" t="s">
        <v>34</v>
      </c>
      <c r="I155" s="16" t="s">
        <v>35</v>
      </c>
      <c r="J155" s="16" t="n">
        <v>1</v>
      </c>
      <c r="K155" s="18" t="n">
        <v>0.2</v>
      </c>
      <c r="L155" s="19" t="n">
        <v>8674.75</v>
      </c>
      <c r="M155" s="19" t="n">
        <v>1424.17</v>
      </c>
    </row>
    <row r="156" customFormat="false" ht="15" hidden="false" customHeight="false" outlineLevel="0" collapsed="false">
      <c r="A156" s="16" t="s">
        <v>222</v>
      </c>
      <c r="B156" s="17" t="n">
        <v>45946</v>
      </c>
      <c r="C156" s="17" t="n">
        <v>45949</v>
      </c>
      <c r="D156" s="16" t="s">
        <v>32</v>
      </c>
      <c r="E156" s="16" t="s">
        <v>26</v>
      </c>
      <c r="F156" s="16" t="s">
        <v>27</v>
      </c>
      <c r="G156" s="16" t="s">
        <v>28</v>
      </c>
      <c r="H156" s="16" t="s">
        <v>44</v>
      </c>
      <c r="I156" s="16" t="s">
        <v>98</v>
      </c>
      <c r="J156" s="16" t="n">
        <v>3</v>
      </c>
      <c r="K156" s="18" t="n">
        <v>0.5</v>
      </c>
      <c r="L156" s="19" t="n">
        <v>4451.45</v>
      </c>
      <c r="M156" s="19" t="n">
        <v>909.92</v>
      </c>
    </row>
    <row r="157" customFormat="false" ht="15" hidden="false" customHeight="false" outlineLevel="0" collapsed="false">
      <c r="A157" s="16" t="s">
        <v>223</v>
      </c>
      <c r="B157" s="17" t="n">
        <v>45972</v>
      </c>
      <c r="C157" s="17" t="n">
        <v>45979</v>
      </c>
      <c r="D157" s="16" t="s">
        <v>47</v>
      </c>
      <c r="E157" s="16" t="s">
        <v>42</v>
      </c>
      <c r="F157" s="16" t="s">
        <v>59</v>
      </c>
      <c r="G157" s="16" t="s">
        <v>60</v>
      </c>
      <c r="H157" s="16" t="s">
        <v>29</v>
      </c>
      <c r="I157" s="16" t="s">
        <v>39</v>
      </c>
      <c r="J157" s="16" t="n">
        <v>2</v>
      </c>
      <c r="K157" s="18" t="n">
        <v>0.15</v>
      </c>
      <c r="L157" s="19" t="n">
        <v>39264.27</v>
      </c>
      <c r="M157" s="19" t="n">
        <v>3675.96</v>
      </c>
    </row>
    <row r="158" customFormat="false" ht="15" hidden="false" customHeight="false" outlineLevel="0" collapsed="false">
      <c r="A158" s="16" t="s">
        <v>224</v>
      </c>
      <c r="B158" s="17" t="n">
        <v>45445</v>
      </c>
      <c r="C158" s="17" t="n">
        <v>45447</v>
      </c>
      <c r="D158" s="16" t="s">
        <v>41</v>
      </c>
      <c r="E158" s="16" t="s">
        <v>42</v>
      </c>
      <c r="F158" s="16" t="s">
        <v>55</v>
      </c>
      <c r="G158" s="16" t="s">
        <v>96</v>
      </c>
      <c r="H158" s="16" t="s">
        <v>44</v>
      </c>
      <c r="I158" s="16" t="s">
        <v>98</v>
      </c>
      <c r="J158" s="16" t="n">
        <v>12</v>
      </c>
      <c r="K158" s="18" t="n">
        <v>0</v>
      </c>
      <c r="L158" s="19" t="n">
        <v>4364.77</v>
      </c>
      <c r="M158" s="19" t="n">
        <v>96.28</v>
      </c>
    </row>
    <row r="159" customFormat="false" ht="15" hidden="false" customHeight="false" outlineLevel="0" collapsed="false">
      <c r="A159" s="16" t="s">
        <v>225</v>
      </c>
      <c r="B159" s="17" t="n">
        <v>45817</v>
      </c>
      <c r="C159" s="17" t="n">
        <v>45821</v>
      </c>
      <c r="D159" s="16" t="s">
        <v>47</v>
      </c>
      <c r="E159" s="16" t="s">
        <v>42</v>
      </c>
      <c r="F159" s="16" t="s">
        <v>59</v>
      </c>
      <c r="G159" s="16" t="s">
        <v>60</v>
      </c>
      <c r="H159" s="16" t="s">
        <v>44</v>
      </c>
      <c r="I159" s="16" t="s">
        <v>98</v>
      </c>
      <c r="J159" s="16" t="n">
        <v>12</v>
      </c>
      <c r="K159" s="18" t="n">
        <v>0.15</v>
      </c>
      <c r="L159" s="19" t="n">
        <v>8546.84</v>
      </c>
      <c r="M159" s="19" t="n">
        <v>828.93</v>
      </c>
    </row>
    <row r="160" customFormat="false" ht="15" hidden="false" customHeight="false" outlineLevel="0" collapsed="false">
      <c r="A160" s="16" t="s">
        <v>226</v>
      </c>
      <c r="B160" s="17" t="n">
        <v>45338</v>
      </c>
      <c r="C160" s="17" t="n">
        <v>45342</v>
      </c>
      <c r="D160" s="16" t="s">
        <v>32</v>
      </c>
      <c r="E160" s="16" t="s">
        <v>26</v>
      </c>
      <c r="F160" s="16" t="s">
        <v>59</v>
      </c>
      <c r="G160" s="16" t="s">
        <v>75</v>
      </c>
      <c r="H160" s="16" t="s">
        <v>44</v>
      </c>
      <c r="I160" s="16" t="s">
        <v>63</v>
      </c>
      <c r="J160" s="16" t="n">
        <v>1</v>
      </c>
      <c r="K160" s="18" t="n">
        <v>0.4</v>
      </c>
      <c r="L160" s="19" t="n">
        <v>373.17</v>
      </c>
      <c r="M160" s="19" t="n">
        <v>-9.45</v>
      </c>
    </row>
    <row r="161" customFormat="false" ht="15" hidden="false" customHeight="false" outlineLevel="0" collapsed="false">
      <c r="A161" s="16" t="s">
        <v>227</v>
      </c>
      <c r="B161" s="17" t="n">
        <v>45683</v>
      </c>
      <c r="C161" s="17" t="n">
        <v>45687</v>
      </c>
      <c r="D161" s="16" t="s">
        <v>47</v>
      </c>
      <c r="E161" s="16" t="s">
        <v>42</v>
      </c>
      <c r="F161" s="16" t="s">
        <v>59</v>
      </c>
      <c r="G161" s="16" t="s">
        <v>66</v>
      </c>
      <c r="H161" s="16" t="s">
        <v>44</v>
      </c>
      <c r="I161" s="16" t="s">
        <v>50</v>
      </c>
      <c r="J161" s="16" t="n">
        <v>2</v>
      </c>
      <c r="K161" s="18" t="n">
        <v>0.15</v>
      </c>
      <c r="L161" s="19" t="n">
        <v>2818.68</v>
      </c>
      <c r="M161" s="19" t="n">
        <v>707.19</v>
      </c>
    </row>
    <row r="162" customFormat="false" ht="15" hidden="false" customHeight="false" outlineLevel="0" collapsed="false">
      <c r="A162" s="16" t="s">
        <v>228</v>
      </c>
      <c r="B162" s="17" t="n">
        <v>45315</v>
      </c>
      <c r="C162" s="17" t="n">
        <v>45318</v>
      </c>
      <c r="D162" s="16" t="s">
        <v>41</v>
      </c>
      <c r="E162" s="16" t="s">
        <v>26</v>
      </c>
      <c r="F162" s="16" t="s">
        <v>55</v>
      </c>
      <c r="G162" s="16" t="s">
        <v>56</v>
      </c>
      <c r="H162" s="16" t="s">
        <v>44</v>
      </c>
      <c r="I162" s="16" t="s">
        <v>63</v>
      </c>
      <c r="J162" s="16" t="n">
        <v>8</v>
      </c>
      <c r="K162" s="18" t="n">
        <v>0</v>
      </c>
      <c r="L162" s="19" t="n">
        <v>7195.07</v>
      </c>
      <c r="M162" s="19" t="n">
        <v>-1659.68</v>
      </c>
    </row>
    <row r="163" customFormat="false" ht="15" hidden="false" customHeight="false" outlineLevel="0" collapsed="false">
      <c r="A163" s="16" t="s">
        <v>229</v>
      </c>
      <c r="B163" s="17" t="n">
        <v>45968</v>
      </c>
      <c r="C163" s="17" t="n">
        <v>45972</v>
      </c>
      <c r="D163" s="16" t="s">
        <v>25</v>
      </c>
      <c r="E163" s="16" t="s">
        <v>26</v>
      </c>
      <c r="F163" s="16" t="s">
        <v>27</v>
      </c>
      <c r="G163" s="16" t="s">
        <v>28</v>
      </c>
      <c r="H163" s="16" t="s">
        <v>34</v>
      </c>
      <c r="I163" s="16" t="s">
        <v>35</v>
      </c>
      <c r="J163" s="16" t="n">
        <v>10</v>
      </c>
      <c r="K163" s="18" t="n">
        <v>0</v>
      </c>
      <c r="L163" s="19" t="n">
        <v>426422.47</v>
      </c>
      <c r="M163" s="19" t="n">
        <v>-43989.53</v>
      </c>
    </row>
    <row r="164" customFormat="false" ht="15" hidden="false" customHeight="false" outlineLevel="0" collapsed="false">
      <c r="A164" s="16" t="s">
        <v>230</v>
      </c>
      <c r="B164" s="17" t="n">
        <v>45337</v>
      </c>
      <c r="C164" s="17" t="n">
        <v>45341</v>
      </c>
      <c r="D164" s="16" t="s">
        <v>47</v>
      </c>
      <c r="E164" s="16" t="s">
        <v>26</v>
      </c>
      <c r="F164" s="16" t="s">
        <v>27</v>
      </c>
      <c r="G164" s="16" t="s">
        <v>82</v>
      </c>
      <c r="H164" s="16" t="s">
        <v>44</v>
      </c>
      <c r="I164" s="16" t="s">
        <v>67</v>
      </c>
      <c r="J164" s="16" t="n">
        <v>4</v>
      </c>
      <c r="K164" s="18" t="n">
        <v>0.3</v>
      </c>
      <c r="L164" s="19" t="n">
        <v>6219.92</v>
      </c>
      <c r="M164" s="19" t="n">
        <v>-670.87</v>
      </c>
    </row>
    <row r="165" customFormat="false" ht="15" hidden="false" customHeight="false" outlineLevel="0" collapsed="false">
      <c r="A165" s="16" t="s">
        <v>231</v>
      </c>
      <c r="B165" s="17" t="n">
        <v>45438</v>
      </c>
      <c r="C165" s="17" t="n">
        <v>45444</v>
      </c>
      <c r="D165" s="16" t="s">
        <v>25</v>
      </c>
      <c r="E165" s="16" t="s">
        <v>48</v>
      </c>
      <c r="F165" s="16" t="s">
        <v>55</v>
      </c>
      <c r="G165" s="16" t="s">
        <v>86</v>
      </c>
      <c r="H165" s="16" t="s">
        <v>34</v>
      </c>
      <c r="I165" s="16" t="s">
        <v>52</v>
      </c>
      <c r="J165" s="16" t="n">
        <v>9</v>
      </c>
      <c r="K165" s="18" t="n">
        <v>0.4</v>
      </c>
      <c r="L165" s="19" t="n">
        <v>296067.38</v>
      </c>
      <c r="M165" s="19" t="n">
        <v>24724.71</v>
      </c>
    </row>
    <row r="166" customFormat="false" ht="15" hidden="false" customHeight="false" outlineLevel="0" collapsed="false">
      <c r="A166" s="16" t="s">
        <v>232</v>
      </c>
      <c r="B166" s="17" t="n">
        <v>45340</v>
      </c>
      <c r="C166" s="17" t="n">
        <v>45343</v>
      </c>
      <c r="D166" s="16" t="s">
        <v>41</v>
      </c>
      <c r="E166" s="16" t="s">
        <v>48</v>
      </c>
      <c r="F166" s="16" t="s">
        <v>37</v>
      </c>
      <c r="G166" s="16" t="s">
        <v>91</v>
      </c>
      <c r="H166" s="16" t="s">
        <v>34</v>
      </c>
      <c r="I166" s="16" t="s">
        <v>61</v>
      </c>
      <c r="J166" s="16" t="n">
        <v>5</v>
      </c>
      <c r="K166" s="18" t="n">
        <v>0.15</v>
      </c>
      <c r="L166" s="19" t="n">
        <v>124103.62</v>
      </c>
      <c r="M166" s="19" t="n">
        <v>-8632.42</v>
      </c>
    </row>
    <row r="167" customFormat="false" ht="15" hidden="false" customHeight="false" outlineLevel="0" collapsed="false">
      <c r="A167" s="16" t="s">
        <v>233</v>
      </c>
      <c r="B167" s="17" t="n">
        <v>46016</v>
      </c>
      <c r="C167" s="17" t="n">
        <v>46018</v>
      </c>
      <c r="D167" s="16" t="s">
        <v>41</v>
      </c>
      <c r="E167" s="16" t="s">
        <v>42</v>
      </c>
      <c r="F167" s="16" t="s">
        <v>55</v>
      </c>
      <c r="G167" s="16" t="s">
        <v>56</v>
      </c>
      <c r="H167" s="16" t="s">
        <v>44</v>
      </c>
      <c r="I167" s="16" t="s">
        <v>45</v>
      </c>
      <c r="J167" s="16" t="n">
        <v>7</v>
      </c>
      <c r="K167" s="18" t="n">
        <v>0.5</v>
      </c>
      <c r="L167" s="19" t="n">
        <v>2413.87</v>
      </c>
      <c r="M167" s="19" t="n">
        <v>623.45</v>
      </c>
    </row>
    <row r="168" customFormat="false" ht="15" hidden="false" customHeight="false" outlineLevel="0" collapsed="false">
      <c r="A168" s="16" t="s">
        <v>234</v>
      </c>
      <c r="B168" s="17" t="n">
        <v>45386</v>
      </c>
      <c r="C168" s="17" t="n">
        <v>45391</v>
      </c>
      <c r="D168" s="16" t="s">
        <v>25</v>
      </c>
      <c r="E168" s="16" t="s">
        <v>48</v>
      </c>
      <c r="F168" s="16" t="s">
        <v>59</v>
      </c>
      <c r="G168" s="16" t="s">
        <v>71</v>
      </c>
      <c r="H168" s="16" t="s">
        <v>34</v>
      </c>
      <c r="I168" s="16" t="s">
        <v>52</v>
      </c>
      <c r="J168" s="16" t="n">
        <v>2</v>
      </c>
      <c r="K168" s="18" t="n">
        <v>0.15</v>
      </c>
      <c r="L168" s="19" t="n">
        <v>74582.16</v>
      </c>
      <c r="M168" s="19" t="n">
        <v>2807.01</v>
      </c>
    </row>
    <row r="169" customFormat="false" ht="15" hidden="false" customHeight="false" outlineLevel="0" collapsed="false">
      <c r="A169" s="16" t="s">
        <v>235</v>
      </c>
      <c r="B169" s="17" t="n">
        <v>45632</v>
      </c>
      <c r="C169" s="17" t="n">
        <v>45635</v>
      </c>
      <c r="D169" s="16" t="s">
        <v>32</v>
      </c>
      <c r="E169" s="16" t="s">
        <v>42</v>
      </c>
      <c r="F169" s="16" t="s">
        <v>27</v>
      </c>
      <c r="G169" s="16" t="s">
        <v>82</v>
      </c>
      <c r="H169" s="16" t="s">
        <v>29</v>
      </c>
      <c r="I169" s="16" t="s">
        <v>39</v>
      </c>
      <c r="J169" s="16" t="n">
        <v>4</v>
      </c>
      <c r="K169" s="18" t="n">
        <v>0.15</v>
      </c>
      <c r="L169" s="19" t="n">
        <v>61197.98</v>
      </c>
      <c r="M169" s="19" t="n">
        <v>4972.19</v>
      </c>
    </row>
    <row r="170" customFormat="false" ht="15" hidden="false" customHeight="false" outlineLevel="0" collapsed="false">
      <c r="A170" s="16" t="s">
        <v>236</v>
      </c>
      <c r="B170" s="17" t="n">
        <v>45581</v>
      </c>
      <c r="C170" s="17" t="n">
        <v>45585</v>
      </c>
      <c r="D170" s="16" t="s">
        <v>47</v>
      </c>
      <c r="E170" s="16" t="s">
        <v>48</v>
      </c>
      <c r="F170" s="16" t="s">
        <v>37</v>
      </c>
      <c r="G170" s="16" t="s">
        <v>43</v>
      </c>
      <c r="H170" s="16" t="s">
        <v>44</v>
      </c>
      <c r="I170" s="16" t="s">
        <v>98</v>
      </c>
      <c r="J170" s="16" t="n">
        <v>9</v>
      </c>
      <c r="K170" s="18" t="n">
        <v>0.5</v>
      </c>
      <c r="L170" s="19" t="n">
        <v>6531.35</v>
      </c>
      <c r="M170" s="19" t="n">
        <v>1351.84</v>
      </c>
    </row>
    <row r="171" customFormat="false" ht="15" hidden="false" customHeight="false" outlineLevel="0" collapsed="false">
      <c r="A171" s="16" t="s">
        <v>237</v>
      </c>
      <c r="B171" s="17" t="n">
        <v>45619</v>
      </c>
      <c r="C171" s="17" t="n">
        <v>45621</v>
      </c>
      <c r="D171" s="16" t="s">
        <v>41</v>
      </c>
      <c r="E171" s="16" t="s">
        <v>42</v>
      </c>
      <c r="F171" s="16" t="s">
        <v>55</v>
      </c>
      <c r="G171" s="16" t="s">
        <v>96</v>
      </c>
      <c r="H171" s="16" t="s">
        <v>44</v>
      </c>
      <c r="I171" s="16" t="s">
        <v>80</v>
      </c>
      <c r="J171" s="16" t="n">
        <v>12</v>
      </c>
      <c r="K171" s="18" t="n">
        <v>0.4</v>
      </c>
      <c r="L171" s="19" t="n">
        <v>6164.96</v>
      </c>
      <c r="M171" s="19" t="n">
        <v>-449.33</v>
      </c>
    </row>
    <row r="172" customFormat="false" ht="15" hidden="false" customHeight="false" outlineLevel="0" collapsed="false">
      <c r="A172" s="16" t="s">
        <v>238</v>
      </c>
      <c r="B172" s="17" t="n">
        <v>45492</v>
      </c>
      <c r="C172" s="17" t="n">
        <v>45495</v>
      </c>
      <c r="D172" s="16" t="s">
        <v>47</v>
      </c>
      <c r="E172" s="16" t="s">
        <v>42</v>
      </c>
      <c r="F172" s="16" t="s">
        <v>27</v>
      </c>
      <c r="G172" s="16" t="s">
        <v>33</v>
      </c>
      <c r="H172" s="16" t="s">
        <v>29</v>
      </c>
      <c r="I172" s="16" t="s">
        <v>107</v>
      </c>
      <c r="J172" s="16" t="n">
        <v>5</v>
      </c>
      <c r="K172" s="18" t="n">
        <v>0.5</v>
      </c>
      <c r="L172" s="19" t="n">
        <v>48893.24</v>
      </c>
      <c r="M172" s="19" t="n">
        <v>1295.54</v>
      </c>
    </row>
    <row r="173" customFormat="false" ht="15" hidden="false" customHeight="false" outlineLevel="0" collapsed="false">
      <c r="A173" s="16" t="s">
        <v>239</v>
      </c>
      <c r="B173" s="17" t="n">
        <v>45652</v>
      </c>
      <c r="C173" s="17" t="n">
        <v>45654</v>
      </c>
      <c r="D173" s="16" t="s">
        <v>25</v>
      </c>
      <c r="E173" s="16" t="s">
        <v>42</v>
      </c>
      <c r="F173" s="16" t="s">
        <v>27</v>
      </c>
      <c r="G173" s="16" t="s">
        <v>82</v>
      </c>
      <c r="H173" s="16" t="s">
        <v>29</v>
      </c>
      <c r="I173" s="16" t="s">
        <v>107</v>
      </c>
      <c r="J173" s="16" t="n">
        <v>2</v>
      </c>
      <c r="K173" s="18" t="n">
        <v>0.4</v>
      </c>
      <c r="L173" s="19" t="n">
        <v>28487.19</v>
      </c>
      <c r="M173" s="19" t="n">
        <v>-4771.75</v>
      </c>
    </row>
    <row r="174" customFormat="false" ht="15" hidden="false" customHeight="false" outlineLevel="0" collapsed="false">
      <c r="A174" s="16" t="s">
        <v>240</v>
      </c>
      <c r="B174" s="17" t="n">
        <v>45937</v>
      </c>
      <c r="C174" s="17" t="n">
        <v>45939</v>
      </c>
      <c r="D174" s="16" t="s">
        <v>32</v>
      </c>
      <c r="E174" s="16" t="s">
        <v>42</v>
      </c>
      <c r="F174" s="16" t="s">
        <v>59</v>
      </c>
      <c r="G174" s="16" t="s">
        <v>66</v>
      </c>
      <c r="H174" s="16" t="s">
        <v>29</v>
      </c>
      <c r="I174" s="16" t="s">
        <v>39</v>
      </c>
      <c r="J174" s="16" t="n">
        <v>6</v>
      </c>
      <c r="K174" s="18" t="n">
        <v>0.5</v>
      </c>
      <c r="L174" s="19" t="n">
        <v>10171.06</v>
      </c>
      <c r="M174" s="19" t="n">
        <v>1480.61</v>
      </c>
    </row>
    <row r="175" customFormat="false" ht="15" hidden="false" customHeight="false" outlineLevel="0" collapsed="false">
      <c r="A175" s="16" t="s">
        <v>241</v>
      </c>
      <c r="B175" s="17" t="n">
        <v>45308</v>
      </c>
      <c r="C175" s="17" t="n">
        <v>45309</v>
      </c>
      <c r="D175" s="16" t="s">
        <v>47</v>
      </c>
      <c r="E175" s="16" t="s">
        <v>42</v>
      </c>
      <c r="F175" s="16" t="s">
        <v>59</v>
      </c>
      <c r="G175" s="16" t="s">
        <v>75</v>
      </c>
      <c r="H175" s="16" t="s">
        <v>34</v>
      </c>
      <c r="I175" s="16" t="s">
        <v>61</v>
      </c>
      <c r="J175" s="16" t="n">
        <v>9</v>
      </c>
      <c r="K175" s="18" t="n">
        <v>0.4</v>
      </c>
      <c r="L175" s="19" t="n">
        <v>264976.37</v>
      </c>
      <c r="M175" s="19" t="n">
        <v>61925.14</v>
      </c>
    </row>
    <row r="176" customFormat="false" ht="15" hidden="false" customHeight="false" outlineLevel="0" collapsed="false">
      <c r="A176" s="16" t="s">
        <v>242</v>
      </c>
      <c r="B176" s="17" t="n">
        <v>45475</v>
      </c>
      <c r="C176" s="17" t="n">
        <v>45476</v>
      </c>
      <c r="D176" s="16" t="s">
        <v>47</v>
      </c>
      <c r="E176" s="16" t="s">
        <v>42</v>
      </c>
      <c r="F176" s="16" t="s">
        <v>27</v>
      </c>
      <c r="G176" s="16" t="s">
        <v>28</v>
      </c>
      <c r="H176" s="16" t="s">
        <v>29</v>
      </c>
      <c r="I176" s="16" t="s">
        <v>39</v>
      </c>
      <c r="J176" s="16" t="n">
        <v>6</v>
      </c>
      <c r="K176" s="18" t="n">
        <v>0.4</v>
      </c>
      <c r="L176" s="19" t="n">
        <v>29334.49</v>
      </c>
      <c r="M176" s="19" t="n">
        <v>745.06</v>
      </c>
    </row>
    <row r="177" customFormat="false" ht="15" hidden="false" customHeight="false" outlineLevel="0" collapsed="false">
      <c r="A177" s="16" t="s">
        <v>243</v>
      </c>
      <c r="B177" s="17" t="n">
        <v>45541</v>
      </c>
      <c r="C177" s="17" t="n">
        <v>45547</v>
      </c>
      <c r="D177" s="16" t="s">
        <v>32</v>
      </c>
      <c r="E177" s="16" t="s">
        <v>26</v>
      </c>
      <c r="F177" s="16" t="s">
        <v>59</v>
      </c>
      <c r="G177" s="16" t="s">
        <v>75</v>
      </c>
      <c r="H177" s="16" t="s">
        <v>29</v>
      </c>
      <c r="I177" s="16" t="s">
        <v>30</v>
      </c>
      <c r="J177" s="16" t="n">
        <v>7</v>
      </c>
      <c r="K177" s="18" t="n">
        <v>0.1</v>
      </c>
      <c r="L177" s="19" t="n">
        <v>67251.87</v>
      </c>
      <c r="M177" s="19" t="n">
        <v>-13476.49</v>
      </c>
    </row>
    <row r="178" customFormat="false" ht="15" hidden="false" customHeight="false" outlineLevel="0" collapsed="false">
      <c r="A178" s="16" t="s">
        <v>244</v>
      </c>
      <c r="B178" s="17" t="n">
        <v>45736</v>
      </c>
      <c r="C178" s="17" t="n">
        <v>45742</v>
      </c>
      <c r="D178" s="16" t="s">
        <v>41</v>
      </c>
      <c r="E178" s="16" t="s">
        <v>26</v>
      </c>
      <c r="F178" s="16" t="s">
        <v>59</v>
      </c>
      <c r="G178" s="16" t="s">
        <v>75</v>
      </c>
      <c r="H178" s="16" t="s">
        <v>44</v>
      </c>
      <c r="I178" s="16" t="s">
        <v>98</v>
      </c>
      <c r="J178" s="16" t="n">
        <v>12</v>
      </c>
      <c r="K178" s="18" t="n">
        <v>0</v>
      </c>
      <c r="L178" s="19" t="n">
        <v>17747.41</v>
      </c>
      <c r="M178" s="19" t="n">
        <v>2851.25</v>
      </c>
    </row>
    <row r="179" customFormat="false" ht="15" hidden="false" customHeight="false" outlineLevel="0" collapsed="false">
      <c r="A179" s="16" t="s">
        <v>245</v>
      </c>
      <c r="B179" s="17" t="n">
        <v>45579</v>
      </c>
      <c r="C179" s="17" t="n">
        <v>45584</v>
      </c>
      <c r="D179" s="16" t="s">
        <v>41</v>
      </c>
      <c r="E179" s="16" t="s">
        <v>26</v>
      </c>
      <c r="F179" s="16" t="s">
        <v>27</v>
      </c>
      <c r="G179" s="16" t="s">
        <v>73</v>
      </c>
      <c r="H179" s="16" t="s">
        <v>34</v>
      </c>
      <c r="I179" s="16" t="s">
        <v>35</v>
      </c>
      <c r="J179" s="16" t="n">
        <v>10</v>
      </c>
      <c r="K179" s="18" t="n">
        <v>0</v>
      </c>
      <c r="L179" s="19" t="n">
        <v>495227.9</v>
      </c>
      <c r="M179" s="19" t="n">
        <v>-34880.82</v>
      </c>
    </row>
    <row r="180" customFormat="false" ht="15" hidden="false" customHeight="false" outlineLevel="0" collapsed="false">
      <c r="A180" s="16" t="s">
        <v>246</v>
      </c>
      <c r="B180" s="17" t="n">
        <v>45869</v>
      </c>
      <c r="C180" s="17" t="n">
        <v>45871</v>
      </c>
      <c r="D180" s="16" t="s">
        <v>41</v>
      </c>
      <c r="E180" s="16" t="s">
        <v>42</v>
      </c>
      <c r="F180" s="16" t="s">
        <v>37</v>
      </c>
      <c r="G180" s="16" t="s">
        <v>91</v>
      </c>
      <c r="H180" s="16" t="s">
        <v>34</v>
      </c>
      <c r="I180" s="16" t="s">
        <v>61</v>
      </c>
      <c r="J180" s="16" t="n">
        <v>12</v>
      </c>
      <c r="K180" s="18" t="n">
        <v>0</v>
      </c>
      <c r="L180" s="19" t="n">
        <v>701974.98</v>
      </c>
      <c r="M180" s="19" t="n">
        <v>-134349.96</v>
      </c>
    </row>
    <row r="181" customFormat="false" ht="15" hidden="false" customHeight="false" outlineLevel="0" collapsed="false">
      <c r="A181" s="16" t="s">
        <v>247</v>
      </c>
      <c r="B181" s="17" t="n">
        <v>45529</v>
      </c>
      <c r="C181" s="17" t="n">
        <v>45536</v>
      </c>
      <c r="D181" s="16" t="s">
        <v>47</v>
      </c>
      <c r="E181" s="16" t="s">
        <v>26</v>
      </c>
      <c r="F181" s="16" t="s">
        <v>55</v>
      </c>
      <c r="G181" s="16" t="s">
        <v>86</v>
      </c>
      <c r="H181" s="16" t="s">
        <v>29</v>
      </c>
      <c r="I181" s="16" t="s">
        <v>30</v>
      </c>
      <c r="J181" s="16" t="n">
        <v>8</v>
      </c>
      <c r="K181" s="18" t="n">
        <v>0.4</v>
      </c>
      <c r="L181" s="19" t="n">
        <v>63762.62</v>
      </c>
      <c r="M181" s="19" t="n">
        <v>-8834.78</v>
      </c>
    </row>
    <row r="182" customFormat="false" ht="15" hidden="false" customHeight="false" outlineLevel="0" collapsed="false">
      <c r="A182" s="16" t="s">
        <v>248</v>
      </c>
      <c r="B182" s="17" t="n">
        <v>45891</v>
      </c>
      <c r="C182" s="17" t="n">
        <v>45897</v>
      </c>
      <c r="D182" s="16" t="s">
        <v>25</v>
      </c>
      <c r="E182" s="16" t="s">
        <v>42</v>
      </c>
      <c r="F182" s="16" t="s">
        <v>37</v>
      </c>
      <c r="G182" s="16" t="s">
        <v>49</v>
      </c>
      <c r="H182" s="16" t="s">
        <v>44</v>
      </c>
      <c r="I182" s="16" t="s">
        <v>45</v>
      </c>
      <c r="J182" s="16" t="n">
        <v>2</v>
      </c>
      <c r="K182" s="18" t="n">
        <v>0.1</v>
      </c>
      <c r="L182" s="19" t="n">
        <v>2163.6</v>
      </c>
      <c r="M182" s="19" t="n">
        <v>419.29</v>
      </c>
    </row>
    <row r="183" customFormat="false" ht="15" hidden="false" customHeight="false" outlineLevel="0" collapsed="false">
      <c r="A183" s="16" t="s">
        <v>249</v>
      </c>
      <c r="B183" s="17" t="n">
        <v>45616</v>
      </c>
      <c r="C183" s="17" t="n">
        <v>45619</v>
      </c>
      <c r="D183" s="16" t="s">
        <v>47</v>
      </c>
      <c r="E183" s="16" t="s">
        <v>48</v>
      </c>
      <c r="F183" s="16" t="s">
        <v>59</v>
      </c>
      <c r="G183" s="16" t="s">
        <v>71</v>
      </c>
      <c r="H183" s="16" t="s">
        <v>29</v>
      </c>
      <c r="I183" s="16" t="s">
        <v>78</v>
      </c>
      <c r="J183" s="16" t="n">
        <v>5</v>
      </c>
      <c r="K183" s="18" t="n">
        <v>0.4</v>
      </c>
      <c r="L183" s="19" t="n">
        <v>13053.97</v>
      </c>
      <c r="M183" s="19" t="n">
        <v>-2454.46</v>
      </c>
    </row>
    <row r="184" customFormat="false" ht="15" hidden="false" customHeight="false" outlineLevel="0" collapsed="false">
      <c r="A184" s="16" t="s">
        <v>250</v>
      </c>
      <c r="B184" s="17" t="n">
        <v>45383</v>
      </c>
      <c r="C184" s="17" t="n">
        <v>45386</v>
      </c>
      <c r="D184" s="16" t="s">
        <v>47</v>
      </c>
      <c r="E184" s="16" t="s">
        <v>26</v>
      </c>
      <c r="F184" s="16" t="s">
        <v>37</v>
      </c>
      <c r="G184" s="16" t="s">
        <v>91</v>
      </c>
      <c r="H184" s="16" t="s">
        <v>34</v>
      </c>
      <c r="I184" s="16" t="s">
        <v>35</v>
      </c>
      <c r="J184" s="16" t="n">
        <v>7</v>
      </c>
      <c r="K184" s="18" t="n">
        <v>0.15</v>
      </c>
      <c r="L184" s="19" t="n">
        <v>322587.93</v>
      </c>
      <c r="M184" s="19" t="n">
        <v>30057.54</v>
      </c>
    </row>
    <row r="185" customFormat="false" ht="15" hidden="false" customHeight="false" outlineLevel="0" collapsed="false">
      <c r="A185" s="16" t="s">
        <v>251</v>
      </c>
      <c r="B185" s="17" t="n">
        <v>45465</v>
      </c>
      <c r="C185" s="17" t="n">
        <v>45471</v>
      </c>
      <c r="D185" s="16" t="s">
        <v>47</v>
      </c>
      <c r="E185" s="16" t="s">
        <v>48</v>
      </c>
      <c r="F185" s="16" t="s">
        <v>27</v>
      </c>
      <c r="G185" s="16" t="s">
        <v>73</v>
      </c>
      <c r="H185" s="16" t="s">
        <v>44</v>
      </c>
      <c r="I185" s="16" t="s">
        <v>67</v>
      </c>
      <c r="J185" s="16" t="n">
        <v>8</v>
      </c>
      <c r="K185" s="18" t="n">
        <v>0.2</v>
      </c>
      <c r="L185" s="19" t="n">
        <v>3743.37</v>
      </c>
      <c r="M185" s="19" t="n">
        <v>151.75</v>
      </c>
    </row>
    <row r="186" customFormat="false" ht="15" hidden="false" customHeight="false" outlineLevel="0" collapsed="false">
      <c r="A186" s="16" t="s">
        <v>252</v>
      </c>
      <c r="B186" s="17" t="n">
        <v>45370</v>
      </c>
      <c r="C186" s="17" t="n">
        <v>45373</v>
      </c>
      <c r="D186" s="16" t="s">
        <v>25</v>
      </c>
      <c r="E186" s="16" t="s">
        <v>48</v>
      </c>
      <c r="F186" s="16" t="s">
        <v>55</v>
      </c>
      <c r="G186" s="16" t="s">
        <v>69</v>
      </c>
      <c r="H186" s="16" t="s">
        <v>44</v>
      </c>
      <c r="I186" s="16" t="s">
        <v>67</v>
      </c>
      <c r="J186" s="16" t="n">
        <v>3</v>
      </c>
      <c r="K186" s="18" t="n">
        <v>0.4</v>
      </c>
      <c r="L186" s="19" t="n">
        <v>5132.86</v>
      </c>
      <c r="M186" s="19" t="n">
        <v>1193.11</v>
      </c>
    </row>
    <row r="187" customFormat="false" ht="15" hidden="false" customHeight="false" outlineLevel="0" collapsed="false">
      <c r="A187" s="16" t="s">
        <v>253</v>
      </c>
      <c r="B187" s="17" t="n">
        <v>45629</v>
      </c>
      <c r="C187" s="17" t="n">
        <v>45633</v>
      </c>
      <c r="D187" s="16" t="s">
        <v>41</v>
      </c>
      <c r="E187" s="16" t="s">
        <v>48</v>
      </c>
      <c r="F187" s="16" t="s">
        <v>27</v>
      </c>
      <c r="G187" s="16" t="s">
        <v>73</v>
      </c>
      <c r="H187" s="16" t="s">
        <v>44</v>
      </c>
      <c r="I187" s="16" t="s">
        <v>50</v>
      </c>
      <c r="J187" s="16" t="n">
        <v>8</v>
      </c>
      <c r="K187" s="18" t="n">
        <v>0.2</v>
      </c>
      <c r="L187" s="19" t="n">
        <v>18542.51</v>
      </c>
      <c r="M187" s="19" t="n">
        <v>3540.22</v>
      </c>
    </row>
    <row r="188" customFormat="false" ht="15" hidden="false" customHeight="false" outlineLevel="0" collapsed="false">
      <c r="A188" s="16" t="s">
        <v>254</v>
      </c>
      <c r="B188" s="17" t="n">
        <v>45940</v>
      </c>
      <c r="C188" s="17" t="n">
        <v>45944</v>
      </c>
      <c r="D188" s="16" t="s">
        <v>32</v>
      </c>
      <c r="E188" s="16" t="s">
        <v>48</v>
      </c>
      <c r="F188" s="16" t="s">
        <v>37</v>
      </c>
      <c r="G188" s="16" t="s">
        <v>91</v>
      </c>
      <c r="H188" s="16" t="s">
        <v>34</v>
      </c>
      <c r="I188" s="16" t="s">
        <v>52</v>
      </c>
      <c r="J188" s="16" t="n">
        <v>6</v>
      </c>
      <c r="K188" s="18" t="n">
        <v>0.1</v>
      </c>
      <c r="L188" s="19" t="n">
        <v>195184.52</v>
      </c>
      <c r="M188" s="19" t="n">
        <v>31039.72</v>
      </c>
    </row>
    <row r="189" customFormat="false" ht="15" hidden="false" customHeight="false" outlineLevel="0" collapsed="false">
      <c r="A189" s="16" t="s">
        <v>255</v>
      </c>
      <c r="B189" s="17" t="n">
        <v>45855</v>
      </c>
      <c r="C189" s="17" t="n">
        <v>45856</v>
      </c>
      <c r="D189" s="16" t="s">
        <v>25</v>
      </c>
      <c r="E189" s="16" t="s">
        <v>48</v>
      </c>
      <c r="F189" s="16" t="s">
        <v>27</v>
      </c>
      <c r="G189" s="16" t="s">
        <v>33</v>
      </c>
      <c r="H189" s="16" t="s">
        <v>34</v>
      </c>
      <c r="I189" s="16" t="s">
        <v>61</v>
      </c>
      <c r="J189" s="16" t="n">
        <v>7</v>
      </c>
      <c r="K189" s="18" t="n">
        <v>0.2</v>
      </c>
      <c r="L189" s="19" t="n">
        <v>107607.97</v>
      </c>
      <c r="M189" s="19" t="n">
        <v>15624.44</v>
      </c>
    </row>
    <row r="190" customFormat="false" ht="15" hidden="false" customHeight="false" outlineLevel="0" collapsed="false">
      <c r="A190" s="16" t="s">
        <v>256</v>
      </c>
      <c r="B190" s="17" t="n">
        <v>45725</v>
      </c>
      <c r="C190" s="17" t="n">
        <v>45732</v>
      </c>
      <c r="D190" s="16" t="s">
        <v>32</v>
      </c>
      <c r="E190" s="16" t="s">
        <v>42</v>
      </c>
      <c r="F190" s="16" t="s">
        <v>55</v>
      </c>
      <c r="G190" s="16" t="s">
        <v>56</v>
      </c>
      <c r="H190" s="16" t="s">
        <v>44</v>
      </c>
      <c r="I190" s="16" t="s">
        <v>45</v>
      </c>
      <c r="J190" s="16" t="n">
        <v>9</v>
      </c>
      <c r="K190" s="18" t="n">
        <v>0</v>
      </c>
      <c r="L190" s="19" t="n">
        <v>24922.24</v>
      </c>
      <c r="M190" s="19" t="n">
        <v>5593.36</v>
      </c>
    </row>
    <row r="191" customFormat="false" ht="15" hidden="false" customHeight="false" outlineLevel="0" collapsed="false">
      <c r="A191" s="16" t="s">
        <v>257</v>
      </c>
      <c r="B191" s="17" t="n">
        <v>45660</v>
      </c>
      <c r="C191" s="17" t="n">
        <v>45666</v>
      </c>
      <c r="D191" s="16" t="s">
        <v>47</v>
      </c>
      <c r="E191" s="16" t="s">
        <v>42</v>
      </c>
      <c r="F191" s="16" t="s">
        <v>59</v>
      </c>
      <c r="G191" s="16" t="s">
        <v>66</v>
      </c>
      <c r="H191" s="16" t="s">
        <v>34</v>
      </c>
      <c r="I191" s="16" t="s">
        <v>35</v>
      </c>
      <c r="J191" s="16" t="n">
        <v>3</v>
      </c>
      <c r="K191" s="18" t="n">
        <v>0.4</v>
      </c>
      <c r="L191" s="19" t="n">
        <v>106273.94</v>
      </c>
      <c r="M191" s="19" t="n">
        <v>35079.61</v>
      </c>
    </row>
    <row r="192" customFormat="false" ht="15" hidden="false" customHeight="false" outlineLevel="0" collapsed="false">
      <c r="A192" s="16" t="s">
        <v>258</v>
      </c>
      <c r="B192" s="17" t="n">
        <v>45631</v>
      </c>
      <c r="C192" s="17" t="n">
        <v>45638</v>
      </c>
      <c r="D192" s="16" t="s">
        <v>41</v>
      </c>
      <c r="E192" s="16" t="s">
        <v>48</v>
      </c>
      <c r="F192" s="16" t="s">
        <v>59</v>
      </c>
      <c r="G192" s="16" t="s">
        <v>75</v>
      </c>
      <c r="H192" s="16" t="s">
        <v>44</v>
      </c>
      <c r="I192" s="16" t="s">
        <v>45</v>
      </c>
      <c r="J192" s="16" t="n">
        <v>9</v>
      </c>
      <c r="K192" s="18" t="n">
        <v>0.15</v>
      </c>
      <c r="L192" s="19" t="n">
        <v>13144.08</v>
      </c>
      <c r="M192" s="19" t="n">
        <v>229.59</v>
      </c>
    </row>
    <row r="193" customFormat="false" ht="15" hidden="false" customHeight="false" outlineLevel="0" collapsed="false">
      <c r="A193" s="16" t="s">
        <v>259</v>
      </c>
      <c r="B193" s="17" t="n">
        <v>45692</v>
      </c>
      <c r="C193" s="17" t="n">
        <v>45696</v>
      </c>
      <c r="D193" s="16" t="s">
        <v>25</v>
      </c>
      <c r="E193" s="16" t="s">
        <v>48</v>
      </c>
      <c r="F193" s="16" t="s">
        <v>37</v>
      </c>
      <c r="G193" s="16" t="s">
        <v>38</v>
      </c>
      <c r="H193" s="16" t="s">
        <v>34</v>
      </c>
      <c r="I193" s="16" t="s">
        <v>52</v>
      </c>
      <c r="J193" s="16" t="n">
        <v>5</v>
      </c>
      <c r="K193" s="18" t="n">
        <v>0.1</v>
      </c>
      <c r="L193" s="19" t="n">
        <v>37305.25</v>
      </c>
      <c r="M193" s="19" t="n">
        <v>-1529.62</v>
      </c>
    </row>
    <row r="194" customFormat="false" ht="15" hidden="false" customHeight="false" outlineLevel="0" collapsed="false">
      <c r="A194" s="16" t="s">
        <v>260</v>
      </c>
      <c r="B194" s="17" t="n">
        <v>45643</v>
      </c>
      <c r="C194" s="17" t="n">
        <v>45647</v>
      </c>
      <c r="D194" s="16" t="s">
        <v>32</v>
      </c>
      <c r="E194" s="16" t="s">
        <v>26</v>
      </c>
      <c r="F194" s="16" t="s">
        <v>37</v>
      </c>
      <c r="G194" s="16" t="s">
        <v>91</v>
      </c>
      <c r="H194" s="16" t="s">
        <v>29</v>
      </c>
      <c r="I194" s="16" t="s">
        <v>107</v>
      </c>
      <c r="J194" s="16" t="n">
        <v>12</v>
      </c>
      <c r="K194" s="18" t="n">
        <v>0</v>
      </c>
      <c r="L194" s="19" t="n">
        <v>216306.66</v>
      </c>
      <c r="M194" s="19" t="n">
        <v>-51145.48</v>
      </c>
    </row>
    <row r="195" customFormat="false" ht="15" hidden="false" customHeight="false" outlineLevel="0" collapsed="false">
      <c r="A195" s="16" t="s">
        <v>261</v>
      </c>
      <c r="B195" s="17" t="n">
        <v>45643</v>
      </c>
      <c r="C195" s="17" t="n">
        <v>45649</v>
      </c>
      <c r="D195" s="16" t="s">
        <v>41</v>
      </c>
      <c r="E195" s="16" t="s">
        <v>42</v>
      </c>
      <c r="F195" s="16" t="s">
        <v>27</v>
      </c>
      <c r="G195" s="16" t="s">
        <v>28</v>
      </c>
      <c r="H195" s="16" t="s">
        <v>29</v>
      </c>
      <c r="I195" s="16" t="s">
        <v>39</v>
      </c>
      <c r="J195" s="16" t="n">
        <v>6</v>
      </c>
      <c r="K195" s="18" t="n">
        <v>0.4</v>
      </c>
      <c r="L195" s="19" t="n">
        <v>53555.49</v>
      </c>
      <c r="M195" s="19" t="n">
        <v>6847.4</v>
      </c>
    </row>
    <row r="196" customFormat="false" ht="15" hidden="false" customHeight="false" outlineLevel="0" collapsed="false">
      <c r="A196" s="16" t="s">
        <v>262</v>
      </c>
      <c r="B196" s="17" t="n">
        <v>45482</v>
      </c>
      <c r="C196" s="17" t="n">
        <v>45488</v>
      </c>
      <c r="D196" s="16" t="s">
        <v>41</v>
      </c>
      <c r="E196" s="16" t="s">
        <v>42</v>
      </c>
      <c r="F196" s="16" t="s">
        <v>55</v>
      </c>
      <c r="G196" s="16" t="s">
        <v>96</v>
      </c>
      <c r="H196" s="16" t="s">
        <v>34</v>
      </c>
      <c r="I196" s="16" t="s">
        <v>61</v>
      </c>
      <c r="J196" s="16" t="n">
        <v>8</v>
      </c>
      <c r="K196" s="18" t="n">
        <v>0.15</v>
      </c>
      <c r="L196" s="19" t="n">
        <v>290543.83</v>
      </c>
      <c r="M196" s="19" t="n">
        <v>-24113.13</v>
      </c>
    </row>
    <row r="197" customFormat="false" ht="15" hidden="false" customHeight="false" outlineLevel="0" collapsed="false">
      <c r="A197" s="16" t="s">
        <v>263</v>
      </c>
      <c r="B197" s="17" t="n">
        <v>46012</v>
      </c>
      <c r="C197" s="17" t="n">
        <v>46019</v>
      </c>
      <c r="D197" s="16" t="s">
        <v>41</v>
      </c>
      <c r="E197" s="16" t="s">
        <v>48</v>
      </c>
      <c r="F197" s="16" t="s">
        <v>27</v>
      </c>
      <c r="G197" s="16" t="s">
        <v>73</v>
      </c>
      <c r="H197" s="16" t="s">
        <v>29</v>
      </c>
      <c r="I197" s="16" t="s">
        <v>78</v>
      </c>
      <c r="J197" s="16" t="n">
        <v>8</v>
      </c>
      <c r="K197" s="18" t="n">
        <v>0.3</v>
      </c>
      <c r="L197" s="19" t="n">
        <v>25877.4</v>
      </c>
      <c r="M197" s="19" t="n">
        <v>2799.48</v>
      </c>
    </row>
    <row r="198" customFormat="false" ht="15" hidden="false" customHeight="false" outlineLevel="0" collapsed="false">
      <c r="A198" s="16" t="s">
        <v>264</v>
      </c>
      <c r="B198" s="17" t="n">
        <v>45917</v>
      </c>
      <c r="C198" s="17" t="n">
        <v>45921</v>
      </c>
      <c r="D198" s="16" t="s">
        <v>41</v>
      </c>
      <c r="E198" s="16" t="s">
        <v>48</v>
      </c>
      <c r="F198" s="16" t="s">
        <v>37</v>
      </c>
      <c r="G198" s="16" t="s">
        <v>43</v>
      </c>
      <c r="H198" s="16" t="s">
        <v>34</v>
      </c>
      <c r="I198" s="16" t="s">
        <v>35</v>
      </c>
      <c r="J198" s="16" t="n">
        <v>11</v>
      </c>
      <c r="K198" s="18" t="n">
        <v>0</v>
      </c>
      <c r="L198" s="19" t="n">
        <v>411920.79</v>
      </c>
      <c r="M198" s="19" t="n">
        <v>63133.47</v>
      </c>
    </row>
    <row r="199" customFormat="false" ht="15" hidden="false" customHeight="false" outlineLevel="0" collapsed="false">
      <c r="A199" s="16" t="s">
        <v>265</v>
      </c>
      <c r="B199" s="17" t="n">
        <v>45612</v>
      </c>
      <c r="C199" s="17" t="n">
        <v>45613</v>
      </c>
      <c r="D199" s="16" t="s">
        <v>41</v>
      </c>
      <c r="E199" s="16" t="s">
        <v>48</v>
      </c>
      <c r="F199" s="16" t="s">
        <v>59</v>
      </c>
      <c r="G199" s="16" t="s">
        <v>66</v>
      </c>
      <c r="H199" s="16" t="s">
        <v>29</v>
      </c>
      <c r="I199" s="16" t="s">
        <v>30</v>
      </c>
      <c r="J199" s="16" t="n">
        <v>9</v>
      </c>
      <c r="K199" s="18" t="n">
        <v>0.4</v>
      </c>
      <c r="L199" s="19" t="n">
        <v>59047.14</v>
      </c>
      <c r="M199" s="19" t="n">
        <v>-8180.85</v>
      </c>
    </row>
    <row r="200" customFormat="false" ht="15" hidden="false" customHeight="false" outlineLevel="0" collapsed="false">
      <c r="A200" s="16" t="s">
        <v>266</v>
      </c>
      <c r="B200" s="17" t="n">
        <v>45942</v>
      </c>
      <c r="C200" s="17" t="n">
        <v>45947</v>
      </c>
      <c r="D200" s="16" t="s">
        <v>41</v>
      </c>
      <c r="E200" s="16" t="s">
        <v>48</v>
      </c>
      <c r="F200" s="16" t="s">
        <v>27</v>
      </c>
      <c r="G200" s="16" t="s">
        <v>33</v>
      </c>
      <c r="H200" s="16" t="s">
        <v>34</v>
      </c>
      <c r="I200" s="16" t="s">
        <v>52</v>
      </c>
      <c r="J200" s="16" t="n">
        <v>3</v>
      </c>
      <c r="K200" s="18" t="n">
        <v>0.3</v>
      </c>
      <c r="L200" s="19" t="n">
        <v>9736.14</v>
      </c>
      <c r="M200" s="19" t="n">
        <v>3126.32</v>
      </c>
    </row>
    <row r="201" customFormat="false" ht="15" hidden="false" customHeight="false" outlineLevel="0" collapsed="false">
      <c r="A201" s="16" t="s">
        <v>267</v>
      </c>
      <c r="B201" s="17" t="n">
        <v>45788</v>
      </c>
      <c r="C201" s="17" t="n">
        <v>45790</v>
      </c>
      <c r="D201" s="16" t="s">
        <v>32</v>
      </c>
      <c r="E201" s="16" t="s">
        <v>42</v>
      </c>
      <c r="F201" s="16" t="s">
        <v>55</v>
      </c>
      <c r="G201" s="16" t="s">
        <v>56</v>
      </c>
      <c r="H201" s="16" t="s">
        <v>29</v>
      </c>
      <c r="I201" s="16" t="s">
        <v>107</v>
      </c>
      <c r="J201" s="16" t="n">
        <v>7</v>
      </c>
      <c r="K201" s="18" t="n">
        <v>0</v>
      </c>
      <c r="L201" s="19" t="n">
        <v>128332.92</v>
      </c>
      <c r="M201" s="19" t="n">
        <v>29199.4</v>
      </c>
    </row>
    <row r="202" customFormat="false" ht="15" hidden="false" customHeight="false" outlineLevel="0" collapsed="false">
      <c r="A202" s="16" t="s">
        <v>268</v>
      </c>
      <c r="B202" s="17" t="n">
        <v>45517</v>
      </c>
      <c r="C202" s="17" t="n">
        <v>45520</v>
      </c>
      <c r="D202" s="16" t="s">
        <v>32</v>
      </c>
      <c r="E202" s="16" t="s">
        <v>26</v>
      </c>
      <c r="F202" s="16" t="s">
        <v>27</v>
      </c>
      <c r="G202" s="16" t="s">
        <v>73</v>
      </c>
      <c r="H202" s="16" t="s">
        <v>29</v>
      </c>
      <c r="I202" s="16" t="s">
        <v>30</v>
      </c>
      <c r="J202" s="16" t="n">
        <v>10</v>
      </c>
      <c r="K202" s="18" t="n">
        <v>0</v>
      </c>
      <c r="L202" s="19" t="n">
        <v>190779.2</v>
      </c>
      <c r="M202" s="19" t="n">
        <v>17862.36</v>
      </c>
    </row>
    <row r="203" customFormat="false" ht="15" hidden="false" customHeight="false" outlineLevel="0" collapsed="false">
      <c r="A203" s="16" t="s">
        <v>269</v>
      </c>
      <c r="B203" s="17" t="n">
        <v>45566</v>
      </c>
      <c r="C203" s="17" t="n">
        <v>45573</v>
      </c>
      <c r="D203" s="16" t="s">
        <v>41</v>
      </c>
      <c r="E203" s="16" t="s">
        <v>42</v>
      </c>
      <c r="F203" s="16" t="s">
        <v>59</v>
      </c>
      <c r="G203" s="16" t="s">
        <v>60</v>
      </c>
      <c r="H203" s="16" t="s">
        <v>34</v>
      </c>
      <c r="I203" s="16" t="s">
        <v>57</v>
      </c>
      <c r="J203" s="16" t="n">
        <v>7</v>
      </c>
      <c r="K203" s="18" t="n">
        <v>0.2</v>
      </c>
      <c r="L203" s="19" t="n">
        <v>254540.78</v>
      </c>
      <c r="M203" s="19" t="n">
        <v>69969.67</v>
      </c>
    </row>
    <row r="204" customFormat="false" ht="15" hidden="false" customHeight="false" outlineLevel="0" collapsed="false">
      <c r="A204" s="16" t="s">
        <v>270</v>
      </c>
      <c r="B204" s="17" t="n">
        <v>45325</v>
      </c>
      <c r="C204" s="17" t="n">
        <v>45329</v>
      </c>
      <c r="D204" s="16" t="s">
        <v>41</v>
      </c>
      <c r="E204" s="16" t="s">
        <v>26</v>
      </c>
      <c r="F204" s="16" t="s">
        <v>59</v>
      </c>
      <c r="G204" s="16" t="s">
        <v>60</v>
      </c>
      <c r="H204" s="16" t="s">
        <v>44</v>
      </c>
      <c r="I204" s="16" t="s">
        <v>80</v>
      </c>
      <c r="J204" s="16" t="n">
        <v>4</v>
      </c>
      <c r="K204" s="18" t="n">
        <v>0.4</v>
      </c>
      <c r="L204" s="19" t="n">
        <v>4331.95</v>
      </c>
      <c r="M204" s="19" t="n">
        <v>-651.57</v>
      </c>
    </row>
    <row r="205" customFormat="false" ht="15" hidden="false" customHeight="false" outlineLevel="0" collapsed="false">
      <c r="A205" s="16" t="s">
        <v>271</v>
      </c>
      <c r="B205" s="17" t="n">
        <v>45434</v>
      </c>
      <c r="C205" s="17" t="n">
        <v>45441</v>
      </c>
      <c r="D205" s="16" t="s">
        <v>47</v>
      </c>
      <c r="E205" s="16" t="s">
        <v>42</v>
      </c>
      <c r="F205" s="16" t="s">
        <v>59</v>
      </c>
      <c r="G205" s="16" t="s">
        <v>71</v>
      </c>
      <c r="H205" s="16" t="s">
        <v>29</v>
      </c>
      <c r="I205" s="16" t="s">
        <v>39</v>
      </c>
      <c r="J205" s="16" t="n">
        <v>10</v>
      </c>
      <c r="K205" s="18" t="n">
        <v>0.2</v>
      </c>
      <c r="L205" s="19" t="n">
        <v>115133.41</v>
      </c>
      <c r="M205" s="19" t="n">
        <v>10781.25</v>
      </c>
    </row>
    <row r="206" customFormat="false" ht="15" hidden="false" customHeight="false" outlineLevel="0" collapsed="false">
      <c r="A206" s="16" t="s">
        <v>272</v>
      </c>
      <c r="B206" s="17" t="n">
        <v>45818</v>
      </c>
      <c r="C206" s="17" t="n">
        <v>45824</v>
      </c>
      <c r="D206" s="16" t="s">
        <v>41</v>
      </c>
      <c r="E206" s="16" t="s">
        <v>48</v>
      </c>
      <c r="F206" s="16" t="s">
        <v>55</v>
      </c>
      <c r="G206" s="16" t="s">
        <v>96</v>
      </c>
      <c r="H206" s="16" t="s">
        <v>29</v>
      </c>
      <c r="I206" s="16" t="s">
        <v>39</v>
      </c>
      <c r="J206" s="16" t="n">
        <v>12</v>
      </c>
      <c r="K206" s="18" t="n">
        <v>0.15</v>
      </c>
      <c r="L206" s="19" t="n">
        <v>223582.09</v>
      </c>
      <c r="M206" s="19" t="n">
        <v>46255.59</v>
      </c>
    </row>
    <row r="207" customFormat="false" ht="15" hidden="false" customHeight="false" outlineLevel="0" collapsed="false">
      <c r="A207" s="16" t="s">
        <v>273</v>
      </c>
      <c r="B207" s="17" t="n">
        <v>45984</v>
      </c>
      <c r="C207" s="17" t="n">
        <v>45988</v>
      </c>
      <c r="D207" s="16" t="s">
        <v>32</v>
      </c>
      <c r="E207" s="16" t="s">
        <v>48</v>
      </c>
      <c r="F207" s="16" t="s">
        <v>37</v>
      </c>
      <c r="G207" s="16" t="s">
        <v>91</v>
      </c>
      <c r="H207" s="16" t="s">
        <v>44</v>
      </c>
      <c r="I207" s="16" t="s">
        <v>67</v>
      </c>
      <c r="J207" s="16" t="n">
        <v>2</v>
      </c>
      <c r="K207" s="18" t="n">
        <v>0.2</v>
      </c>
      <c r="L207" s="19" t="n">
        <v>4243.78</v>
      </c>
      <c r="M207" s="19" t="n">
        <v>707.96</v>
      </c>
    </row>
    <row r="208" customFormat="false" ht="15" hidden="false" customHeight="false" outlineLevel="0" collapsed="false">
      <c r="A208" s="16" t="s">
        <v>274</v>
      </c>
      <c r="B208" s="17" t="n">
        <v>45669</v>
      </c>
      <c r="C208" s="17" t="n">
        <v>45673</v>
      </c>
      <c r="D208" s="16" t="s">
        <v>32</v>
      </c>
      <c r="E208" s="16" t="s">
        <v>42</v>
      </c>
      <c r="F208" s="16" t="s">
        <v>59</v>
      </c>
      <c r="G208" s="16" t="s">
        <v>75</v>
      </c>
      <c r="H208" s="16" t="s">
        <v>44</v>
      </c>
      <c r="I208" s="16" t="s">
        <v>80</v>
      </c>
      <c r="J208" s="16" t="n">
        <v>11</v>
      </c>
      <c r="K208" s="18" t="n">
        <v>0.4</v>
      </c>
      <c r="L208" s="19" t="n">
        <v>7516.38</v>
      </c>
      <c r="M208" s="19" t="n">
        <v>-896.72</v>
      </c>
    </row>
    <row r="209" customFormat="false" ht="15" hidden="false" customHeight="false" outlineLevel="0" collapsed="false">
      <c r="A209" s="16" t="s">
        <v>275</v>
      </c>
      <c r="B209" s="17" t="n">
        <v>45731</v>
      </c>
      <c r="C209" s="17" t="n">
        <v>45738</v>
      </c>
      <c r="D209" s="16" t="s">
        <v>47</v>
      </c>
      <c r="E209" s="16" t="s">
        <v>48</v>
      </c>
      <c r="F209" s="16" t="s">
        <v>37</v>
      </c>
      <c r="G209" s="16" t="s">
        <v>43</v>
      </c>
      <c r="H209" s="16" t="s">
        <v>29</v>
      </c>
      <c r="I209" s="16" t="s">
        <v>107</v>
      </c>
      <c r="J209" s="16" t="n">
        <v>9</v>
      </c>
      <c r="K209" s="18" t="n">
        <v>0.3</v>
      </c>
      <c r="L209" s="19" t="n">
        <v>96342.58</v>
      </c>
      <c r="M209" s="19" t="n">
        <v>27601.46</v>
      </c>
    </row>
    <row r="210" customFormat="false" ht="15" hidden="false" customHeight="false" outlineLevel="0" collapsed="false">
      <c r="A210" s="16" t="s">
        <v>276</v>
      </c>
      <c r="B210" s="17" t="n">
        <v>45341</v>
      </c>
      <c r="C210" s="17" t="n">
        <v>45342</v>
      </c>
      <c r="D210" s="16" t="s">
        <v>32</v>
      </c>
      <c r="E210" s="16" t="s">
        <v>26</v>
      </c>
      <c r="F210" s="16" t="s">
        <v>59</v>
      </c>
      <c r="G210" s="16" t="s">
        <v>75</v>
      </c>
      <c r="H210" s="16" t="s">
        <v>29</v>
      </c>
      <c r="I210" s="16" t="s">
        <v>107</v>
      </c>
      <c r="J210" s="16" t="n">
        <v>8</v>
      </c>
      <c r="K210" s="18" t="n">
        <v>0.1</v>
      </c>
      <c r="L210" s="19" t="n">
        <v>14511.93</v>
      </c>
      <c r="M210" s="19" t="n">
        <v>4053.02</v>
      </c>
    </row>
    <row r="211" customFormat="false" ht="15" hidden="false" customHeight="false" outlineLevel="0" collapsed="false">
      <c r="A211" s="16" t="s">
        <v>277</v>
      </c>
      <c r="B211" s="17" t="n">
        <v>45601</v>
      </c>
      <c r="C211" s="17" t="n">
        <v>45603</v>
      </c>
      <c r="D211" s="16" t="s">
        <v>47</v>
      </c>
      <c r="E211" s="16" t="s">
        <v>26</v>
      </c>
      <c r="F211" s="16" t="s">
        <v>37</v>
      </c>
      <c r="G211" s="16" t="s">
        <v>43</v>
      </c>
      <c r="H211" s="16" t="s">
        <v>44</v>
      </c>
      <c r="I211" s="16" t="s">
        <v>45</v>
      </c>
      <c r="J211" s="16" t="n">
        <v>11</v>
      </c>
      <c r="K211" s="18" t="n">
        <v>0.2</v>
      </c>
      <c r="L211" s="19" t="n">
        <v>5104.2</v>
      </c>
      <c r="M211" s="19" t="n">
        <v>947.3</v>
      </c>
    </row>
    <row r="212" customFormat="false" ht="15" hidden="false" customHeight="false" outlineLevel="0" collapsed="false">
      <c r="A212" s="16" t="s">
        <v>278</v>
      </c>
      <c r="B212" s="17" t="n">
        <v>45531</v>
      </c>
      <c r="C212" s="17" t="n">
        <v>45535</v>
      </c>
      <c r="D212" s="16" t="s">
        <v>32</v>
      </c>
      <c r="E212" s="16" t="s">
        <v>26</v>
      </c>
      <c r="F212" s="16" t="s">
        <v>59</v>
      </c>
      <c r="G212" s="16" t="s">
        <v>75</v>
      </c>
      <c r="H212" s="16" t="s">
        <v>34</v>
      </c>
      <c r="I212" s="16" t="s">
        <v>35</v>
      </c>
      <c r="J212" s="16" t="n">
        <v>2</v>
      </c>
      <c r="K212" s="18" t="n">
        <v>0</v>
      </c>
      <c r="L212" s="19" t="n">
        <v>82557.98</v>
      </c>
      <c r="M212" s="19" t="n">
        <v>-20240.12</v>
      </c>
    </row>
    <row r="213" customFormat="false" ht="15" hidden="false" customHeight="false" outlineLevel="0" collapsed="false">
      <c r="A213" s="16" t="s">
        <v>279</v>
      </c>
      <c r="B213" s="17" t="n">
        <v>45643</v>
      </c>
      <c r="C213" s="17" t="n">
        <v>45650</v>
      </c>
      <c r="D213" s="16" t="s">
        <v>41</v>
      </c>
      <c r="E213" s="16" t="s">
        <v>26</v>
      </c>
      <c r="F213" s="16" t="s">
        <v>27</v>
      </c>
      <c r="G213" s="16" t="s">
        <v>33</v>
      </c>
      <c r="H213" s="16" t="s">
        <v>29</v>
      </c>
      <c r="I213" s="16" t="s">
        <v>107</v>
      </c>
      <c r="J213" s="16" t="n">
        <v>7</v>
      </c>
      <c r="K213" s="18" t="n">
        <v>0.3</v>
      </c>
      <c r="L213" s="19" t="n">
        <v>19867.61</v>
      </c>
      <c r="M213" s="19" t="n">
        <v>5534.98</v>
      </c>
    </row>
    <row r="214" customFormat="false" ht="15" hidden="false" customHeight="false" outlineLevel="0" collapsed="false">
      <c r="A214" s="16" t="s">
        <v>280</v>
      </c>
      <c r="B214" s="17" t="n">
        <v>45432</v>
      </c>
      <c r="C214" s="17" t="n">
        <v>45436</v>
      </c>
      <c r="D214" s="16" t="s">
        <v>41</v>
      </c>
      <c r="E214" s="16" t="s">
        <v>42</v>
      </c>
      <c r="F214" s="16" t="s">
        <v>59</v>
      </c>
      <c r="G214" s="16" t="s">
        <v>75</v>
      </c>
      <c r="H214" s="16" t="s">
        <v>29</v>
      </c>
      <c r="I214" s="16" t="s">
        <v>39</v>
      </c>
      <c r="J214" s="16" t="n">
        <v>8</v>
      </c>
      <c r="K214" s="18" t="n">
        <v>0.4</v>
      </c>
      <c r="L214" s="19" t="n">
        <v>48371.12</v>
      </c>
      <c r="M214" s="19" t="n">
        <v>5787.39</v>
      </c>
    </row>
    <row r="215" customFormat="false" ht="15" hidden="false" customHeight="false" outlineLevel="0" collapsed="false">
      <c r="A215" s="16" t="s">
        <v>281</v>
      </c>
      <c r="B215" s="17" t="n">
        <v>45745</v>
      </c>
      <c r="C215" s="17" t="n">
        <v>45752</v>
      </c>
      <c r="D215" s="16" t="s">
        <v>32</v>
      </c>
      <c r="E215" s="16" t="s">
        <v>26</v>
      </c>
      <c r="F215" s="16" t="s">
        <v>59</v>
      </c>
      <c r="G215" s="16" t="s">
        <v>66</v>
      </c>
      <c r="H215" s="16" t="s">
        <v>29</v>
      </c>
      <c r="I215" s="16" t="s">
        <v>78</v>
      </c>
      <c r="J215" s="16" t="n">
        <v>6</v>
      </c>
      <c r="K215" s="18" t="n">
        <v>0.2</v>
      </c>
      <c r="L215" s="19" t="n">
        <v>115942.66</v>
      </c>
      <c r="M215" s="19" t="n">
        <v>15857.75</v>
      </c>
    </row>
    <row r="216" customFormat="false" ht="15" hidden="false" customHeight="false" outlineLevel="0" collapsed="false">
      <c r="A216" s="16" t="s">
        <v>282</v>
      </c>
      <c r="B216" s="17" t="n">
        <v>45546</v>
      </c>
      <c r="C216" s="17" t="n">
        <v>45551</v>
      </c>
      <c r="D216" s="16" t="s">
        <v>41</v>
      </c>
      <c r="E216" s="16" t="s">
        <v>26</v>
      </c>
      <c r="F216" s="16" t="s">
        <v>59</v>
      </c>
      <c r="G216" s="16" t="s">
        <v>71</v>
      </c>
      <c r="H216" s="16" t="s">
        <v>34</v>
      </c>
      <c r="I216" s="16" t="s">
        <v>57</v>
      </c>
      <c r="J216" s="16" t="n">
        <v>12</v>
      </c>
      <c r="K216" s="18" t="n">
        <v>0.15</v>
      </c>
      <c r="L216" s="19" t="n">
        <v>482994.41</v>
      </c>
      <c r="M216" s="19" t="n">
        <v>22668.2</v>
      </c>
    </row>
    <row r="217" customFormat="false" ht="15" hidden="false" customHeight="false" outlineLevel="0" collapsed="false">
      <c r="A217" s="16" t="s">
        <v>283</v>
      </c>
      <c r="B217" s="17" t="n">
        <v>45407</v>
      </c>
      <c r="C217" s="17" t="n">
        <v>45409</v>
      </c>
      <c r="D217" s="16" t="s">
        <v>47</v>
      </c>
      <c r="E217" s="16" t="s">
        <v>48</v>
      </c>
      <c r="F217" s="16" t="s">
        <v>59</v>
      </c>
      <c r="G217" s="16" t="s">
        <v>75</v>
      </c>
      <c r="H217" s="16" t="s">
        <v>44</v>
      </c>
      <c r="I217" s="16" t="s">
        <v>63</v>
      </c>
      <c r="J217" s="16" t="n">
        <v>3</v>
      </c>
      <c r="K217" s="18" t="n">
        <v>0.1</v>
      </c>
      <c r="L217" s="19" t="n">
        <v>6839.16</v>
      </c>
      <c r="M217" s="19" t="n">
        <v>1420.05</v>
      </c>
    </row>
    <row r="218" customFormat="false" ht="15" hidden="false" customHeight="false" outlineLevel="0" collapsed="false">
      <c r="A218" s="16" t="s">
        <v>284</v>
      </c>
      <c r="B218" s="17" t="n">
        <v>45366</v>
      </c>
      <c r="C218" s="17" t="n">
        <v>45367</v>
      </c>
      <c r="D218" s="16" t="s">
        <v>25</v>
      </c>
      <c r="E218" s="16" t="s">
        <v>26</v>
      </c>
      <c r="F218" s="16" t="s">
        <v>59</v>
      </c>
      <c r="G218" s="16" t="s">
        <v>71</v>
      </c>
      <c r="H218" s="16" t="s">
        <v>34</v>
      </c>
      <c r="I218" s="16" t="s">
        <v>35</v>
      </c>
      <c r="J218" s="16" t="n">
        <v>1</v>
      </c>
      <c r="K218" s="18" t="n">
        <v>0.4</v>
      </c>
      <c r="L218" s="19" t="n">
        <v>10955.72</v>
      </c>
      <c r="M218" s="19" t="n">
        <v>45.41</v>
      </c>
    </row>
    <row r="219" customFormat="false" ht="15" hidden="false" customHeight="false" outlineLevel="0" collapsed="false">
      <c r="A219" s="16" t="s">
        <v>285</v>
      </c>
      <c r="B219" s="17" t="n">
        <v>45703</v>
      </c>
      <c r="C219" s="17" t="n">
        <v>45704</v>
      </c>
      <c r="D219" s="16" t="s">
        <v>25</v>
      </c>
      <c r="E219" s="16" t="s">
        <v>48</v>
      </c>
      <c r="F219" s="16" t="s">
        <v>37</v>
      </c>
      <c r="G219" s="16" t="s">
        <v>38</v>
      </c>
      <c r="H219" s="16" t="s">
        <v>34</v>
      </c>
      <c r="I219" s="16" t="s">
        <v>52</v>
      </c>
      <c r="J219" s="16" t="n">
        <v>9</v>
      </c>
      <c r="K219" s="18" t="n">
        <v>0.3</v>
      </c>
      <c r="L219" s="19" t="n">
        <v>66714.24</v>
      </c>
      <c r="M219" s="19" t="n">
        <v>-1038.15</v>
      </c>
    </row>
    <row r="220" customFormat="false" ht="15" hidden="false" customHeight="false" outlineLevel="0" collapsed="false">
      <c r="A220" s="16" t="s">
        <v>286</v>
      </c>
      <c r="B220" s="17" t="n">
        <v>45941</v>
      </c>
      <c r="C220" s="17" t="n">
        <v>45948</v>
      </c>
      <c r="D220" s="16" t="s">
        <v>41</v>
      </c>
      <c r="E220" s="16" t="s">
        <v>42</v>
      </c>
      <c r="F220" s="16" t="s">
        <v>37</v>
      </c>
      <c r="G220" s="16" t="s">
        <v>91</v>
      </c>
      <c r="H220" s="16" t="s">
        <v>34</v>
      </c>
      <c r="I220" s="16" t="s">
        <v>35</v>
      </c>
      <c r="J220" s="16" t="n">
        <v>1</v>
      </c>
      <c r="K220" s="18" t="n">
        <v>0</v>
      </c>
      <c r="L220" s="19" t="n">
        <v>8285.22</v>
      </c>
      <c r="M220" s="19" t="n">
        <v>-533.78</v>
      </c>
    </row>
    <row r="221" customFormat="false" ht="15" hidden="false" customHeight="false" outlineLevel="0" collapsed="false">
      <c r="A221" s="16" t="s">
        <v>287</v>
      </c>
      <c r="B221" s="17" t="n">
        <v>45965</v>
      </c>
      <c r="C221" s="17" t="n">
        <v>45971</v>
      </c>
      <c r="D221" s="16" t="s">
        <v>25</v>
      </c>
      <c r="E221" s="16" t="s">
        <v>42</v>
      </c>
      <c r="F221" s="16" t="s">
        <v>59</v>
      </c>
      <c r="G221" s="16" t="s">
        <v>66</v>
      </c>
      <c r="H221" s="16" t="s">
        <v>29</v>
      </c>
      <c r="I221" s="16" t="s">
        <v>78</v>
      </c>
      <c r="J221" s="16" t="n">
        <v>3</v>
      </c>
      <c r="K221" s="18" t="n">
        <v>0.2</v>
      </c>
      <c r="L221" s="19" t="n">
        <v>32201.99</v>
      </c>
      <c r="M221" s="19" t="n">
        <v>-4824.57</v>
      </c>
    </row>
    <row r="222" customFormat="false" ht="15" hidden="false" customHeight="false" outlineLevel="0" collapsed="false">
      <c r="A222" s="16" t="s">
        <v>288</v>
      </c>
      <c r="B222" s="17" t="n">
        <v>45421</v>
      </c>
      <c r="C222" s="17" t="n">
        <v>45427</v>
      </c>
      <c r="D222" s="16" t="s">
        <v>32</v>
      </c>
      <c r="E222" s="16" t="s">
        <v>48</v>
      </c>
      <c r="F222" s="16" t="s">
        <v>59</v>
      </c>
      <c r="G222" s="16" t="s">
        <v>75</v>
      </c>
      <c r="H222" s="16" t="s">
        <v>44</v>
      </c>
      <c r="I222" s="16" t="s">
        <v>63</v>
      </c>
      <c r="J222" s="16" t="n">
        <v>5</v>
      </c>
      <c r="K222" s="18" t="n">
        <v>0</v>
      </c>
      <c r="L222" s="19" t="n">
        <v>4312.77</v>
      </c>
      <c r="M222" s="19" t="n">
        <v>205.67</v>
      </c>
    </row>
    <row r="223" customFormat="false" ht="15" hidden="false" customHeight="false" outlineLevel="0" collapsed="false">
      <c r="A223" s="16" t="s">
        <v>289</v>
      </c>
      <c r="B223" s="17" t="n">
        <v>45815</v>
      </c>
      <c r="C223" s="17" t="n">
        <v>45818</v>
      </c>
      <c r="D223" s="16" t="s">
        <v>47</v>
      </c>
      <c r="E223" s="16" t="s">
        <v>26</v>
      </c>
      <c r="F223" s="16" t="s">
        <v>27</v>
      </c>
      <c r="G223" s="16" t="s">
        <v>73</v>
      </c>
      <c r="H223" s="16" t="s">
        <v>29</v>
      </c>
      <c r="I223" s="16" t="s">
        <v>107</v>
      </c>
      <c r="J223" s="16" t="n">
        <v>2</v>
      </c>
      <c r="K223" s="18" t="n">
        <v>0</v>
      </c>
      <c r="L223" s="19" t="n">
        <v>45136.35</v>
      </c>
      <c r="M223" s="19" t="n">
        <v>-10091.46</v>
      </c>
    </row>
    <row r="224" customFormat="false" ht="15" hidden="false" customHeight="false" outlineLevel="0" collapsed="false">
      <c r="A224" s="16" t="s">
        <v>290</v>
      </c>
      <c r="B224" s="17" t="n">
        <v>45304</v>
      </c>
      <c r="C224" s="17" t="n">
        <v>45306</v>
      </c>
      <c r="D224" s="16" t="s">
        <v>41</v>
      </c>
      <c r="E224" s="16" t="s">
        <v>26</v>
      </c>
      <c r="F224" s="16" t="s">
        <v>37</v>
      </c>
      <c r="G224" s="16" t="s">
        <v>91</v>
      </c>
      <c r="H224" s="16" t="s">
        <v>29</v>
      </c>
      <c r="I224" s="16" t="s">
        <v>107</v>
      </c>
      <c r="J224" s="16" t="n">
        <v>1</v>
      </c>
      <c r="K224" s="18" t="n">
        <v>0.4</v>
      </c>
      <c r="L224" s="19" t="n">
        <v>8829.53</v>
      </c>
      <c r="M224" s="19" t="n">
        <v>-1017.96</v>
      </c>
    </row>
    <row r="225" customFormat="false" ht="15" hidden="false" customHeight="false" outlineLevel="0" collapsed="false">
      <c r="A225" s="16" t="s">
        <v>291</v>
      </c>
      <c r="B225" s="17" t="n">
        <v>45546</v>
      </c>
      <c r="C225" s="17" t="n">
        <v>45550</v>
      </c>
      <c r="D225" s="16" t="s">
        <v>47</v>
      </c>
      <c r="E225" s="16" t="s">
        <v>42</v>
      </c>
      <c r="F225" s="16" t="s">
        <v>37</v>
      </c>
      <c r="G225" s="16" t="s">
        <v>38</v>
      </c>
      <c r="H225" s="16" t="s">
        <v>34</v>
      </c>
      <c r="I225" s="16" t="s">
        <v>57</v>
      </c>
      <c r="J225" s="16" t="n">
        <v>2</v>
      </c>
      <c r="K225" s="18" t="n">
        <v>0</v>
      </c>
      <c r="L225" s="19" t="n">
        <v>23983.29</v>
      </c>
      <c r="M225" s="19" t="n">
        <v>7733.36</v>
      </c>
    </row>
    <row r="226" customFormat="false" ht="15" hidden="false" customHeight="false" outlineLevel="0" collapsed="false">
      <c r="A226" s="16" t="s">
        <v>292</v>
      </c>
      <c r="B226" s="17" t="n">
        <v>45362</v>
      </c>
      <c r="C226" s="17" t="n">
        <v>45366</v>
      </c>
      <c r="D226" s="16" t="s">
        <v>32</v>
      </c>
      <c r="E226" s="16" t="s">
        <v>42</v>
      </c>
      <c r="F226" s="16" t="s">
        <v>37</v>
      </c>
      <c r="G226" s="16" t="s">
        <v>38</v>
      </c>
      <c r="H226" s="16" t="s">
        <v>44</v>
      </c>
      <c r="I226" s="16" t="s">
        <v>80</v>
      </c>
      <c r="J226" s="16" t="n">
        <v>1</v>
      </c>
      <c r="K226" s="18" t="n">
        <v>0.15</v>
      </c>
      <c r="L226" s="19" t="n">
        <v>803.78</v>
      </c>
      <c r="M226" s="19" t="n">
        <v>22.79</v>
      </c>
    </row>
    <row r="227" customFormat="false" ht="15" hidden="false" customHeight="false" outlineLevel="0" collapsed="false">
      <c r="A227" s="16" t="s">
        <v>293</v>
      </c>
      <c r="B227" s="17" t="n">
        <v>45897</v>
      </c>
      <c r="C227" s="17" t="n">
        <v>45901</v>
      </c>
      <c r="D227" s="16" t="s">
        <v>25</v>
      </c>
      <c r="E227" s="16" t="s">
        <v>48</v>
      </c>
      <c r="F227" s="16" t="s">
        <v>27</v>
      </c>
      <c r="G227" s="16" t="s">
        <v>82</v>
      </c>
      <c r="H227" s="16" t="s">
        <v>29</v>
      </c>
      <c r="I227" s="16" t="s">
        <v>39</v>
      </c>
      <c r="J227" s="16" t="n">
        <v>4</v>
      </c>
      <c r="K227" s="18" t="n">
        <v>0</v>
      </c>
      <c r="L227" s="19" t="n">
        <v>57822.16</v>
      </c>
      <c r="M227" s="19" t="n">
        <v>18537.45</v>
      </c>
    </row>
    <row r="228" customFormat="false" ht="15" hidden="false" customHeight="false" outlineLevel="0" collapsed="false">
      <c r="A228" s="16" t="s">
        <v>294</v>
      </c>
      <c r="B228" s="17" t="n">
        <v>45293</v>
      </c>
      <c r="C228" s="17" t="n">
        <v>45300</v>
      </c>
      <c r="D228" s="16" t="s">
        <v>41</v>
      </c>
      <c r="E228" s="16" t="s">
        <v>26</v>
      </c>
      <c r="F228" s="16" t="s">
        <v>37</v>
      </c>
      <c r="G228" s="16" t="s">
        <v>38</v>
      </c>
      <c r="H228" s="16" t="s">
        <v>34</v>
      </c>
      <c r="I228" s="16" t="s">
        <v>61</v>
      </c>
      <c r="J228" s="16" t="n">
        <v>7</v>
      </c>
      <c r="K228" s="18" t="n">
        <v>0.2</v>
      </c>
      <c r="L228" s="19" t="n">
        <v>335003.86</v>
      </c>
      <c r="M228" s="19" t="n">
        <v>-65052.4</v>
      </c>
    </row>
    <row r="229" customFormat="false" ht="15" hidden="false" customHeight="false" outlineLevel="0" collapsed="false">
      <c r="A229" s="16" t="s">
        <v>295</v>
      </c>
      <c r="B229" s="17" t="n">
        <v>45529</v>
      </c>
      <c r="C229" s="17" t="n">
        <v>45536</v>
      </c>
      <c r="D229" s="16" t="s">
        <v>25</v>
      </c>
      <c r="E229" s="16" t="s">
        <v>42</v>
      </c>
      <c r="F229" s="16" t="s">
        <v>37</v>
      </c>
      <c r="G229" s="16" t="s">
        <v>91</v>
      </c>
      <c r="H229" s="16" t="s">
        <v>34</v>
      </c>
      <c r="I229" s="16" t="s">
        <v>61</v>
      </c>
      <c r="J229" s="16" t="n">
        <v>10</v>
      </c>
      <c r="K229" s="18" t="n">
        <v>0</v>
      </c>
      <c r="L229" s="19" t="n">
        <v>494678.29</v>
      </c>
      <c r="M229" s="19" t="n">
        <v>52009.22</v>
      </c>
    </row>
    <row r="230" customFormat="false" ht="15" hidden="false" customHeight="false" outlineLevel="0" collapsed="false">
      <c r="A230" s="16" t="s">
        <v>296</v>
      </c>
      <c r="B230" s="17" t="n">
        <v>45355</v>
      </c>
      <c r="C230" s="17" t="n">
        <v>45359</v>
      </c>
      <c r="D230" s="16" t="s">
        <v>47</v>
      </c>
      <c r="E230" s="16" t="s">
        <v>48</v>
      </c>
      <c r="F230" s="16" t="s">
        <v>27</v>
      </c>
      <c r="G230" s="16" t="s">
        <v>73</v>
      </c>
      <c r="H230" s="16" t="s">
        <v>34</v>
      </c>
      <c r="I230" s="16" t="s">
        <v>52</v>
      </c>
      <c r="J230" s="16" t="n">
        <v>7</v>
      </c>
      <c r="K230" s="18" t="n">
        <v>0.2</v>
      </c>
      <c r="L230" s="19" t="n">
        <v>112595.71</v>
      </c>
      <c r="M230" s="19" t="n">
        <v>-12366.75</v>
      </c>
    </row>
    <row r="231" customFormat="false" ht="15" hidden="false" customHeight="false" outlineLevel="0" collapsed="false">
      <c r="A231" s="16" t="s">
        <v>297</v>
      </c>
      <c r="B231" s="17" t="n">
        <v>45499</v>
      </c>
      <c r="C231" s="17" t="n">
        <v>45501</v>
      </c>
      <c r="D231" s="16" t="s">
        <v>32</v>
      </c>
      <c r="E231" s="16" t="s">
        <v>26</v>
      </c>
      <c r="F231" s="16" t="s">
        <v>27</v>
      </c>
      <c r="G231" s="16" t="s">
        <v>82</v>
      </c>
      <c r="H231" s="16" t="s">
        <v>34</v>
      </c>
      <c r="I231" s="16" t="s">
        <v>35</v>
      </c>
      <c r="J231" s="16" t="n">
        <v>8</v>
      </c>
      <c r="K231" s="18" t="n">
        <v>0.15</v>
      </c>
      <c r="L231" s="19" t="n">
        <v>152726.75</v>
      </c>
      <c r="M231" s="19" t="n">
        <v>3230.21</v>
      </c>
    </row>
    <row r="232" customFormat="false" ht="15" hidden="false" customHeight="false" outlineLevel="0" collapsed="false">
      <c r="A232" s="16" t="s">
        <v>298</v>
      </c>
      <c r="B232" s="17" t="n">
        <v>45766</v>
      </c>
      <c r="C232" s="17" t="n">
        <v>45769</v>
      </c>
      <c r="D232" s="16" t="s">
        <v>25</v>
      </c>
      <c r="E232" s="16" t="s">
        <v>42</v>
      </c>
      <c r="F232" s="16" t="s">
        <v>27</v>
      </c>
      <c r="G232" s="16" t="s">
        <v>73</v>
      </c>
      <c r="H232" s="16" t="s">
        <v>29</v>
      </c>
      <c r="I232" s="16" t="s">
        <v>78</v>
      </c>
      <c r="J232" s="16" t="n">
        <v>4</v>
      </c>
      <c r="K232" s="18" t="n">
        <v>0.15</v>
      </c>
      <c r="L232" s="19" t="n">
        <v>72169.32</v>
      </c>
      <c r="M232" s="19" t="n">
        <v>23890.93</v>
      </c>
    </row>
    <row r="233" customFormat="false" ht="15" hidden="false" customHeight="false" outlineLevel="0" collapsed="false">
      <c r="A233" s="16" t="s">
        <v>299</v>
      </c>
      <c r="B233" s="17" t="n">
        <v>45697</v>
      </c>
      <c r="C233" s="17" t="n">
        <v>45702</v>
      </c>
      <c r="D233" s="16" t="s">
        <v>32</v>
      </c>
      <c r="E233" s="16" t="s">
        <v>26</v>
      </c>
      <c r="F233" s="16" t="s">
        <v>37</v>
      </c>
      <c r="G233" s="16" t="s">
        <v>49</v>
      </c>
      <c r="H233" s="16" t="s">
        <v>29</v>
      </c>
      <c r="I233" s="16" t="s">
        <v>30</v>
      </c>
      <c r="J233" s="16" t="n">
        <v>8</v>
      </c>
      <c r="K233" s="18" t="n">
        <v>0</v>
      </c>
      <c r="L233" s="19" t="n">
        <v>118295.49</v>
      </c>
      <c r="M233" s="19" t="n">
        <v>27484.54</v>
      </c>
    </row>
    <row r="234" customFormat="false" ht="15" hidden="false" customHeight="false" outlineLevel="0" collapsed="false">
      <c r="A234" s="16" t="s">
        <v>300</v>
      </c>
      <c r="B234" s="17" t="n">
        <v>45435</v>
      </c>
      <c r="C234" s="17" t="n">
        <v>45436</v>
      </c>
      <c r="D234" s="16" t="s">
        <v>32</v>
      </c>
      <c r="E234" s="16" t="s">
        <v>26</v>
      </c>
      <c r="F234" s="16" t="s">
        <v>27</v>
      </c>
      <c r="G234" s="16" t="s">
        <v>28</v>
      </c>
      <c r="H234" s="16" t="s">
        <v>29</v>
      </c>
      <c r="I234" s="16" t="s">
        <v>78</v>
      </c>
      <c r="J234" s="16" t="n">
        <v>6</v>
      </c>
      <c r="K234" s="18" t="n">
        <v>0.2</v>
      </c>
      <c r="L234" s="19" t="n">
        <v>85365.89</v>
      </c>
      <c r="M234" s="19" t="n">
        <v>25648.79</v>
      </c>
    </row>
    <row r="235" customFormat="false" ht="15" hidden="false" customHeight="false" outlineLevel="0" collapsed="false">
      <c r="A235" s="16" t="s">
        <v>301</v>
      </c>
      <c r="B235" s="17" t="n">
        <v>45368</v>
      </c>
      <c r="C235" s="17" t="n">
        <v>45369</v>
      </c>
      <c r="D235" s="16" t="s">
        <v>47</v>
      </c>
      <c r="E235" s="16" t="s">
        <v>26</v>
      </c>
      <c r="F235" s="16" t="s">
        <v>55</v>
      </c>
      <c r="G235" s="16" t="s">
        <v>69</v>
      </c>
      <c r="H235" s="16" t="s">
        <v>29</v>
      </c>
      <c r="I235" s="16" t="s">
        <v>39</v>
      </c>
      <c r="J235" s="16" t="n">
        <v>2</v>
      </c>
      <c r="K235" s="18" t="n">
        <v>0.4</v>
      </c>
      <c r="L235" s="19" t="n">
        <v>3578.42</v>
      </c>
      <c r="M235" s="19" t="n">
        <v>869.6</v>
      </c>
    </row>
    <row r="236" customFormat="false" ht="15" hidden="false" customHeight="false" outlineLevel="0" collapsed="false">
      <c r="A236" s="16" t="s">
        <v>302</v>
      </c>
      <c r="B236" s="17" t="n">
        <v>45696</v>
      </c>
      <c r="C236" s="17" t="n">
        <v>45700</v>
      </c>
      <c r="D236" s="16" t="s">
        <v>41</v>
      </c>
      <c r="E236" s="16" t="s">
        <v>48</v>
      </c>
      <c r="F236" s="16" t="s">
        <v>55</v>
      </c>
      <c r="G236" s="16" t="s">
        <v>69</v>
      </c>
      <c r="H236" s="16" t="s">
        <v>29</v>
      </c>
      <c r="I236" s="16" t="s">
        <v>107</v>
      </c>
      <c r="J236" s="16" t="n">
        <v>3</v>
      </c>
      <c r="K236" s="18" t="n">
        <v>0.15</v>
      </c>
      <c r="L236" s="19" t="n">
        <v>21227.68</v>
      </c>
      <c r="M236" s="19" t="n">
        <v>2937.21</v>
      </c>
    </row>
    <row r="237" customFormat="false" ht="15" hidden="false" customHeight="false" outlineLevel="0" collapsed="false">
      <c r="A237" s="16" t="s">
        <v>303</v>
      </c>
      <c r="B237" s="17" t="n">
        <v>45802</v>
      </c>
      <c r="C237" s="17" t="n">
        <v>45806</v>
      </c>
      <c r="D237" s="16" t="s">
        <v>32</v>
      </c>
      <c r="E237" s="16" t="s">
        <v>48</v>
      </c>
      <c r="F237" s="16" t="s">
        <v>59</v>
      </c>
      <c r="G237" s="16" t="s">
        <v>75</v>
      </c>
      <c r="H237" s="16" t="s">
        <v>34</v>
      </c>
      <c r="I237" s="16" t="s">
        <v>61</v>
      </c>
      <c r="J237" s="16" t="n">
        <v>3</v>
      </c>
      <c r="K237" s="18" t="n">
        <v>0.15</v>
      </c>
      <c r="L237" s="19" t="n">
        <v>122747</v>
      </c>
      <c r="M237" s="19" t="n">
        <v>15767.18</v>
      </c>
    </row>
    <row r="238" customFormat="false" ht="15" hidden="false" customHeight="false" outlineLevel="0" collapsed="false">
      <c r="A238" s="16" t="s">
        <v>304</v>
      </c>
      <c r="B238" s="17" t="n">
        <v>45848</v>
      </c>
      <c r="C238" s="17" t="n">
        <v>45855</v>
      </c>
      <c r="D238" s="16" t="s">
        <v>32</v>
      </c>
      <c r="E238" s="16" t="s">
        <v>42</v>
      </c>
      <c r="F238" s="16" t="s">
        <v>37</v>
      </c>
      <c r="G238" s="16" t="s">
        <v>91</v>
      </c>
      <c r="H238" s="16" t="s">
        <v>29</v>
      </c>
      <c r="I238" s="16" t="s">
        <v>107</v>
      </c>
      <c r="J238" s="16" t="n">
        <v>6</v>
      </c>
      <c r="K238" s="18" t="n">
        <v>0.1</v>
      </c>
      <c r="L238" s="19" t="n">
        <v>124154.49</v>
      </c>
      <c r="M238" s="19" t="n">
        <v>-29097.12</v>
      </c>
    </row>
    <row r="239" customFormat="false" ht="15" hidden="false" customHeight="false" outlineLevel="0" collapsed="false">
      <c r="A239" s="16" t="s">
        <v>305</v>
      </c>
      <c r="B239" s="17" t="n">
        <v>45903</v>
      </c>
      <c r="C239" s="17" t="n">
        <v>45905</v>
      </c>
      <c r="D239" s="16" t="s">
        <v>47</v>
      </c>
      <c r="E239" s="16" t="s">
        <v>42</v>
      </c>
      <c r="F239" s="16" t="s">
        <v>59</v>
      </c>
      <c r="G239" s="16" t="s">
        <v>60</v>
      </c>
      <c r="H239" s="16" t="s">
        <v>29</v>
      </c>
      <c r="I239" s="16" t="s">
        <v>30</v>
      </c>
      <c r="J239" s="16" t="n">
        <v>10</v>
      </c>
      <c r="K239" s="18" t="n">
        <v>0.15</v>
      </c>
      <c r="L239" s="19" t="n">
        <v>212422.92</v>
      </c>
      <c r="M239" s="19" t="n">
        <v>-19135.86</v>
      </c>
    </row>
    <row r="240" customFormat="false" ht="15" hidden="false" customHeight="false" outlineLevel="0" collapsed="false">
      <c r="A240" s="16" t="s">
        <v>306</v>
      </c>
      <c r="B240" s="17" t="n">
        <v>45349</v>
      </c>
      <c r="C240" s="17" t="n">
        <v>45356</v>
      </c>
      <c r="D240" s="16" t="s">
        <v>41</v>
      </c>
      <c r="E240" s="16" t="s">
        <v>26</v>
      </c>
      <c r="F240" s="16" t="s">
        <v>37</v>
      </c>
      <c r="G240" s="16" t="s">
        <v>49</v>
      </c>
      <c r="H240" s="16" t="s">
        <v>29</v>
      </c>
      <c r="I240" s="16" t="s">
        <v>107</v>
      </c>
      <c r="J240" s="16" t="n">
        <v>10</v>
      </c>
      <c r="K240" s="18" t="n">
        <v>0</v>
      </c>
      <c r="L240" s="19" t="n">
        <v>93141</v>
      </c>
      <c r="M240" s="19" t="n">
        <v>16026.93</v>
      </c>
    </row>
    <row r="241" customFormat="false" ht="15" hidden="false" customHeight="false" outlineLevel="0" collapsed="false">
      <c r="A241" s="16" t="s">
        <v>307</v>
      </c>
      <c r="B241" s="17" t="n">
        <v>45652</v>
      </c>
      <c r="C241" s="17" t="n">
        <v>45657</v>
      </c>
      <c r="D241" s="16" t="s">
        <v>47</v>
      </c>
      <c r="E241" s="16" t="s">
        <v>42</v>
      </c>
      <c r="F241" s="16" t="s">
        <v>27</v>
      </c>
      <c r="G241" s="16" t="s">
        <v>33</v>
      </c>
      <c r="H241" s="16" t="s">
        <v>34</v>
      </c>
      <c r="I241" s="16" t="s">
        <v>52</v>
      </c>
      <c r="J241" s="16" t="n">
        <v>3</v>
      </c>
      <c r="K241" s="18" t="n">
        <v>0.15</v>
      </c>
      <c r="L241" s="19" t="n">
        <v>38526.59</v>
      </c>
      <c r="M241" s="19" t="n">
        <v>-9170.99</v>
      </c>
    </row>
    <row r="242" customFormat="false" ht="15" hidden="false" customHeight="false" outlineLevel="0" collapsed="false">
      <c r="A242" s="16" t="s">
        <v>308</v>
      </c>
      <c r="B242" s="17" t="n">
        <v>45781</v>
      </c>
      <c r="C242" s="17" t="n">
        <v>45782</v>
      </c>
      <c r="D242" s="16" t="s">
        <v>41</v>
      </c>
      <c r="E242" s="16" t="s">
        <v>48</v>
      </c>
      <c r="F242" s="16" t="s">
        <v>27</v>
      </c>
      <c r="G242" s="16" t="s">
        <v>28</v>
      </c>
      <c r="H242" s="16" t="s">
        <v>44</v>
      </c>
      <c r="I242" s="16" t="s">
        <v>98</v>
      </c>
      <c r="J242" s="16" t="n">
        <v>6</v>
      </c>
      <c r="K242" s="18" t="n">
        <v>0.1</v>
      </c>
      <c r="L242" s="19" t="n">
        <v>2853.17</v>
      </c>
      <c r="M242" s="19" t="n">
        <v>612.35</v>
      </c>
    </row>
    <row r="243" customFormat="false" ht="15" hidden="false" customHeight="false" outlineLevel="0" collapsed="false">
      <c r="A243" s="16" t="s">
        <v>309</v>
      </c>
      <c r="B243" s="17" t="n">
        <v>45830</v>
      </c>
      <c r="C243" s="17" t="n">
        <v>45837</v>
      </c>
      <c r="D243" s="16" t="s">
        <v>25</v>
      </c>
      <c r="E243" s="16" t="s">
        <v>42</v>
      </c>
      <c r="F243" s="16" t="s">
        <v>37</v>
      </c>
      <c r="G243" s="16" t="s">
        <v>91</v>
      </c>
      <c r="H243" s="16" t="s">
        <v>44</v>
      </c>
      <c r="I243" s="16" t="s">
        <v>45</v>
      </c>
      <c r="J243" s="16" t="n">
        <v>6</v>
      </c>
      <c r="K243" s="18" t="n">
        <v>0.4</v>
      </c>
      <c r="L243" s="19" t="n">
        <v>1784.56</v>
      </c>
      <c r="M243" s="19" t="n">
        <v>401.71</v>
      </c>
    </row>
    <row r="244" customFormat="false" ht="15" hidden="false" customHeight="false" outlineLevel="0" collapsed="false">
      <c r="A244" s="16" t="s">
        <v>310</v>
      </c>
      <c r="B244" s="17" t="n">
        <v>45790</v>
      </c>
      <c r="C244" s="17" t="n">
        <v>45796</v>
      </c>
      <c r="D244" s="16" t="s">
        <v>41</v>
      </c>
      <c r="E244" s="16" t="s">
        <v>42</v>
      </c>
      <c r="F244" s="16" t="s">
        <v>37</v>
      </c>
      <c r="G244" s="16" t="s">
        <v>49</v>
      </c>
      <c r="H244" s="16" t="s">
        <v>44</v>
      </c>
      <c r="I244" s="16" t="s">
        <v>67</v>
      </c>
      <c r="J244" s="16" t="n">
        <v>7</v>
      </c>
      <c r="K244" s="18" t="n">
        <v>0</v>
      </c>
      <c r="L244" s="19" t="n">
        <v>14676.52</v>
      </c>
      <c r="M244" s="19" t="n">
        <v>4685.81</v>
      </c>
    </row>
    <row r="245" customFormat="false" ht="15" hidden="false" customHeight="false" outlineLevel="0" collapsed="false">
      <c r="A245" s="16" t="s">
        <v>311</v>
      </c>
      <c r="B245" s="17" t="n">
        <v>45878</v>
      </c>
      <c r="C245" s="17" t="n">
        <v>45882</v>
      </c>
      <c r="D245" s="16" t="s">
        <v>41</v>
      </c>
      <c r="E245" s="16" t="s">
        <v>42</v>
      </c>
      <c r="F245" s="16" t="s">
        <v>27</v>
      </c>
      <c r="G245" s="16" t="s">
        <v>73</v>
      </c>
      <c r="H245" s="16" t="s">
        <v>34</v>
      </c>
      <c r="I245" s="16" t="s">
        <v>35</v>
      </c>
      <c r="J245" s="16" t="n">
        <v>11</v>
      </c>
      <c r="K245" s="18" t="n">
        <v>0</v>
      </c>
      <c r="L245" s="19" t="n">
        <v>107004.01</v>
      </c>
      <c r="M245" s="19" t="n">
        <v>-11471.09</v>
      </c>
    </row>
    <row r="246" customFormat="false" ht="15" hidden="false" customHeight="false" outlineLevel="0" collapsed="false">
      <c r="A246" s="16" t="s">
        <v>312</v>
      </c>
      <c r="B246" s="17" t="n">
        <v>45619</v>
      </c>
      <c r="C246" s="17" t="n">
        <v>45621</v>
      </c>
      <c r="D246" s="16" t="s">
        <v>47</v>
      </c>
      <c r="E246" s="16" t="s">
        <v>26</v>
      </c>
      <c r="F246" s="16" t="s">
        <v>37</v>
      </c>
      <c r="G246" s="16" t="s">
        <v>91</v>
      </c>
      <c r="H246" s="16" t="s">
        <v>34</v>
      </c>
      <c r="I246" s="16" t="s">
        <v>35</v>
      </c>
      <c r="J246" s="16" t="n">
        <v>4</v>
      </c>
      <c r="K246" s="18" t="n">
        <v>0</v>
      </c>
      <c r="L246" s="19" t="n">
        <v>66057.96</v>
      </c>
      <c r="M246" s="19" t="n">
        <v>12038.94</v>
      </c>
    </row>
    <row r="247" customFormat="false" ht="15" hidden="false" customHeight="false" outlineLevel="0" collapsed="false">
      <c r="A247" s="16" t="s">
        <v>313</v>
      </c>
      <c r="B247" s="17" t="n">
        <v>45341</v>
      </c>
      <c r="C247" s="17" t="n">
        <v>45345</v>
      </c>
      <c r="D247" s="16" t="s">
        <v>32</v>
      </c>
      <c r="E247" s="16" t="s">
        <v>48</v>
      </c>
      <c r="F247" s="16" t="s">
        <v>55</v>
      </c>
      <c r="G247" s="16" t="s">
        <v>69</v>
      </c>
      <c r="H247" s="16" t="s">
        <v>44</v>
      </c>
      <c r="I247" s="16" t="s">
        <v>63</v>
      </c>
      <c r="J247" s="16" t="n">
        <v>7</v>
      </c>
      <c r="K247" s="18" t="n">
        <v>0.15</v>
      </c>
      <c r="L247" s="19" t="n">
        <v>7071.62</v>
      </c>
      <c r="M247" s="19" t="n">
        <v>-1077.76</v>
      </c>
    </row>
    <row r="248" customFormat="false" ht="15" hidden="false" customHeight="false" outlineLevel="0" collapsed="false">
      <c r="A248" s="16" t="s">
        <v>314</v>
      </c>
      <c r="B248" s="17" t="n">
        <v>45367</v>
      </c>
      <c r="C248" s="17" t="n">
        <v>45374</v>
      </c>
      <c r="D248" s="16" t="s">
        <v>25</v>
      </c>
      <c r="E248" s="16" t="s">
        <v>48</v>
      </c>
      <c r="F248" s="16" t="s">
        <v>59</v>
      </c>
      <c r="G248" s="16" t="s">
        <v>71</v>
      </c>
      <c r="H248" s="16" t="s">
        <v>29</v>
      </c>
      <c r="I248" s="16" t="s">
        <v>30</v>
      </c>
      <c r="J248" s="16" t="n">
        <v>2</v>
      </c>
      <c r="K248" s="18" t="n">
        <v>0</v>
      </c>
      <c r="L248" s="19" t="n">
        <v>19723.18</v>
      </c>
      <c r="M248" s="19" t="n">
        <v>1542.9</v>
      </c>
    </row>
    <row r="249" customFormat="false" ht="15" hidden="false" customHeight="false" outlineLevel="0" collapsed="false">
      <c r="A249" s="16" t="s">
        <v>315</v>
      </c>
      <c r="B249" s="17" t="n">
        <v>45387</v>
      </c>
      <c r="C249" s="17" t="n">
        <v>45390</v>
      </c>
      <c r="D249" s="16" t="s">
        <v>41</v>
      </c>
      <c r="E249" s="16" t="s">
        <v>42</v>
      </c>
      <c r="F249" s="16" t="s">
        <v>59</v>
      </c>
      <c r="G249" s="16" t="s">
        <v>60</v>
      </c>
      <c r="H249" s="16" t="s">
        <v>34</v>
      </c>
      <c r="I249" s="16" t="s">
        <v>61</v>
      </c>
      <c r="J249" s="16" t="n">
        <v>10</v>
      </c>
      <c r="K249" s="18" t="n">
        <v>0.15</v>
      </c>
      <c r="L249" s="19" t="n">
        <v>63100.45</v>
      </c>
      <c r="M249" s="19" t="n">
        <v>21115.87</v>
      </c>
    </row>
    <row r="250" customFormat="false" ht="15" hidden="false" customHeight="false" outlineLevel="0" collapsed="false">
      <c r="A250" s="16" t="s">
        <v>316</v>
      </c>
      <c r="B250" s="17" t="n">
        <v>45711</v>
      </c>
      <c r="C250" s="17" t="n">
        <v>45717</v>
      </c>
      <c r="D250" s="16" t="s">
        <v>25</v>
      </c>
      <c r="E250" s="16" t="s">
        <v>26</v>
      </c>
      <c r="F250" s="16" t="s">
        <v>37</v>
      </c>
      <c r="G250" s="16" t="s">
        <v>43</v>
      </c>
      <c r="H250" s="16" t="s">
        <v>34</v>
      </c>
      <c r="I250" s="16" t="s">
        <v>57</v>
      </c>
      <c r="J250" s="16" t="n">
        <v>1</v>
      </c>
      <c r="K250" s="18" t="n">
        <v>0</v>
      </c>
      <c r="L250" s="19" t="n">
        <v>30220.47</v>
      </c>
      <c r="M250" s="19" t="n">
        <v>-1012.47</v>
      </c>
    </row>
    <row r="251" customFormat="false" ht="15" hidden="false" customHeight="false" outlineLevel="0" collapsed="false">
      <c r="A251" s="16" t="s">
        <v>317</v>
      </c>
      <c r="B251" s="17" t="n">
        <v>45729</v>
      </c>
      <c r="C251" s="17" t="n">
        <v>45730</v>
      </c>
      <c r="D251" s="16" t="s">
        <v>25</v>
      </c>
      <c r="E251" s="16" t="s">
        <v>26</v>
      </c>
      <c r="F251" s="16" t="s">
        <v>55</v>
      </c>
      <c r="G251" s="16" t="s">
        <v>69</v>
      </c>
      <c r="H251" s="16" t="s">
        <v>44</v>
      </c>
      <c r="I251" s="16" t="s">
        <v>63</v>
      </c>
      <c r="J251" s="16" t="n">
        <v>4</v>
      </c>
      <c r="K251" s="18" t="n">
        <v>0</v>
      </c>
      <c r="L251" s="19" t="n">
        <v>3785.01</v>
      </c>
      <c r="M251" s="19" t="n">
        <v>-245.98</v>
      </c>
    </row>
    <row r="252" customFormat="false" ht="15" hidden="false" customHeight="false" outlineLevel="0" collapsed="false">
      <c r="A252" s="16" t="s">
        <v>318</v>
      </c>
      <c r="B252" s="17" t="n">
        <v>45699</v>
      </c>
      <c r="C252" s="17" t="n">
        <v>45703</v>
      </c>
      <c r="D252" s="16" t="s">
        <v>32</v>
      </c>
      <c r="E252" s="16" t="s">
        <v>42</v>
      </c>
      <c r="F252" s="16" t="s">
        <v>37</v>
      </c>
      <c r="G252" s="16" t="s">
        <v>38</v>
      </c>
      <c r="H252" s="16" t="s">
        <v>44</v>
      </c>
      <c r="I252" s="16" t="s">
        <v>63</v>
      </c>
      <c r="J252" s="16" t="n">
        <v>3</v>
      </c>
      <c r="K252" s="18" t="n">
        <v>0</v>
      </c>
      <c r="L252" s="19" t="n">
        <v>3618.57</v>
      </c>
      <c r="M252" s="19" t="n">
        <v>-332.99</v>
      </c>
    </row>
    <row r="253" customFormat="false" ht="15" hidden="false" customHeight="false" outlineLevel="0" collapsed="false">
      <c r="A253" s="16" t="s">
        <v>319</v>
      </c>
      <c r="B253" s="17" t="n">
        <v>45768</v>
      </c>
      <c r="C253" s="17" t="n">
        <v>45771</v>
      </c>
      <c r="D253" s="16" t="s">
        <v>25</v>
      </c>
      <c r="E253" s="16" t="s">
        <v>42</v>
      </c>
      <c r="F253" s="16" t="s">
        <v>59</v>
      </c>
      <c r="G253" s="16" t="s">
        <v>66</v>
      </c>
      <c r="H253" s="16" t="s">
        <v>29</v>
      </c>
      <c r="I253" s="16" t="s">
        <v>30</v>
      </c>
      <c r="J253" s="16" t="n">
        <v>2</v>
      </c>
      <c r="K253" s="18" t="n">
        <v>0.15</v>
      </c>
      <c r="L253" s="19" t="n">
        <v>29524.32</v>
      </c>
      <c r="M253" s="19" t="n">
        <v>2425.75</v>
      </c>
    </row>
    <row r="254" customFormat="false" ht="15" hidden="false" customHeight="false" outlineLevel="0" collapsed="false">
      <c r="A254" s="16" t="s">
        <v>320</v>
      </c>
      <c r="B254" s="17" t="n">
        <v>45688</v>
      </c>
      <c r="C254" s="17" t="n">
        <v>45695</v>
      </c>
      <c r="D254" s="16" t="s">
        <v>47</v>
      </c>
      <c r="E254" s="16" t="s">
        <v>48</v>
      </c>
      <c r="F254" s="16" t="s">
        <v>55</v>
      </c>
      <c r="G254" s="16" t="s">
        <v>69</v>
      </c>
      <c r="H254" s="16" t="s">
        <v>34</v>
      </c>
      <c r="I254" s="16" t="s">
        <v>61</v>
      </c>
      <c r="J254" s="16" t="n">
        <v>2</v>
      </c>
      <c r="K254" s="18" t="n">
        <v>0.1</v>
      </c>
      <c r="L254" s="19" t="n">
        <v>6356.91</v>
      </c>
      <c r="M254" s="19" t="n">
        <v>-1130.45</v>
      </c>
    </row>
    <row r="255" customFormat="false" ht="15" hidden="false" customHeight="false" outlineLevel="0" collapsed="false">
      <c r="A255" s="16" t="s">
        <v>321</v>
      </c>
      <c r="B255" s="17" t="n">
        <v>45751</v>
      </c>
      <c r="C255" s="17" t="n">
        <v>45753</v>
      </c>
      <c r="D255" s="16" t="s">
        <v>32</v>
      </c>
      <c r="E255" s="16" t="s">
        <v>26</v>
      </c>
      <c r="F255" s="16" t="s">
        <v>27</v>
      </c>
      <c r="G255" s="16" t="s">
        <v>28</v>
      </c>
      <c r="H255" s="16" t="s">
        <v>29</v>
      </c>
      <c r="I255" s="16" t="s">
        <v>39</v>
      </c>
      <c r="J255" s="16" t="n">
        <v>2</v>
      </c>
      <c r="K255" s="18" t="n">
        <v>0.1</v>
      </c>
      <c r="L255" s="19" t="n">
        <v>44514.79</v>
      </c>
      <c r="M255" s="19" t="n">
        <v>11149.39</v>
      </c>
    </row>
    <row r="256" customFormat="false" ht="15" hidden="false" customHeight="false" outlineLevel="0" collapsed="false">
      <c r="A256" s="16" t="s">
        <v>322</v>
      </c>
      <c r="B256" s="17" t="n">
        <v>45556</v>
      </c>
      <c r="C256" s="17" t="n">
        <v>45559</v>
      </c>
      <c r="D256" s="16" t="s">
        <v>32</v>
      </c>
      <c r="E256" s="16" t="s">
        <v>42</v>
      </c>
      <c r="F256" s="16" t="s">
        <v>59</v>
      </c>
      <c r="G256" s="16" t="s">
        <v>60</v>
      </c>
      <c r="H256" s="16" t="s">
        <v>34</v>
      </c>
      <c r="I256" s="16" t="s">
        <v>35</v>
      </c>
      <c r="J256" s="16" t="n">
        <v>9</v>
      </c>
      <c r="K256" s="18" t="n">
        <v>0</v>
      </c>
      <c r="L256" s="19" t="n">
        <v>254719.76</v>
      </c>
      <c r="M256" s="19" t="n">
        <v>56530.05</v>
      </c>
    </row>
    <row r="257" customFormat="false" ht="15" hidden="false" customHeight="false" outlineLevel="0" collapsed="false">
      <c r="A257" s="16" t="s">
        <v>323</v>
      </c>
      <c r="B257" s="17" t="n">
        <v>45930</v>
      </c>
      <c r="C257" s="17" t="n">
        <v>45935</v>
      </c>
      <c r="D257" s="16" t="s">
        <v>41</v>
      </c>
      <c r="E257" s="16" t="s">
        <v>26</v>
      </c>
      <c r="F257" s="16" t="s">
        <v>59</v>
      </c>
      <c r="G257" s="16" t="s">
        <v>60</v>
      </c>
      <c r="H257" s="16" t="s">
        <v>34</v>
      </c>
      <c r="I257" s="16" t="s">
        <v>61</v>
      </c>
      <c r="J257" s="16" t="n">
        <v>10</v>
      </c>
      <c r="K257" s="18" t="n">
        <v>0</v>
      </c>
      <c r="L257" s="19" t="n">
        <v>564695.24</v>
      </c>
      <c r="M257" s="19" t="n">
        <v>49473.09</v>
      </c>
    </row>
    <row r="258" customFormat="false" ht="15" hidden="false" customHeight="false" outlineLevel="0" collapsed="false">
      <c r="A258" s="16" t="s">
        <v>324</v>
      </c>
      <c r="B258" s="17" t="n">
        <v>45395</v>
      </c>
      <c r="C258" s="17" t="n">
        <v>45402</v>
      </c>
      <c r="D258" s="16" t="s">
        <v>32</v>
      </c>
      <c r="E258" s="16" t="s">
        <v>48</v>
      </c>
      <c r="F258" s="16" t="s">
        <v>37</v>
      </c>
      <c r="G258" s="16" t="s">
        <v>91</v>
      </c>
      <c r="H258" s="16" t="s">
        <v>44</v>
      </c>
      <c r="I258" s="16" t="s">
        <v>98</v>
      </c>
      <c r="J258" s="16" t="n">
        <v>11</v>
      </c>
      <c r="K258" s="18" t="n">
        <v>0.2</v>
      </c>
      <c r="L258" s="19" t="n">
        <v>16420.71</v>
      </c>
      <c r="M258" s="19" t="n">
        <v>-134.91</v>
      </c>
    </row>
    <row r="259" customFormat="false" ht="15" hidden="false" customHeight="false" outlineLevel="0" collapsed="false">
      <c r="A259" s="16" t="s">
        <v>325</v>
      </c>
      <c r="B259" s="17" t="n">
        <v>45925</v>
      </c>
      <c r="C259" s="17" t="n">
        <v>45930</v>
      </c>
      <c r="D259" s="16" t="s">
        <v>41</v>
      </c>
      <c r="E259" s="16" t="s">
        <v>48</v>
      </c>
      <c r="F259" s="16" t="s">
        <v>59</v>
      </c>
      <c r="G259" s="16" t="s">
        <v>60</v>
      </c>
      <c r="H259" s="16" t="s">
        <v>34</v>
      </c>
      <c r="I259" s="16" t="s">
        <v>61</v>
      </c>
      <c r="J259" s="16" t="n">
        <v>1</v>
      </c>
      <c r="K259" s="18" t="n">
        <v>0</v>
      </c>
      <c r="L259" s="19" t="n">
        <v>53976.33</v>
      </c>
      <c r="M259" s="19" t="n">
        <v>-2552.02</v>
      </c>
    </row>
    <row r="260" customFormat="false" ht="15" hidden="false" customHeight="false" outlineLevel="0" collapsed="false">
      <c r="A260" s="16" t="s">
        <v>326</v>
      </c>
      <c r="B260" s="17" t="n">
        <v>45602</v>
      </c>
      <c r="C260" s="17" t="n">
        <v>45605</v>
      </c>
      <c r="D260" s="16" t="s">
        <v>47</v>
      </c>
      <c r="E260" s="16" t="s">
        <v>26</v>
      </c>
      <c r="F260" s="16" t="s">
        <v>59</v>
      </c>
      <c r="G260" s="16" t="s">
        <v>66</v>
      </c>
      <c r="H260" s="16" t="s">
        <v>44</v>
      </c>
      <c r="I260" s="16" t="s">
        <v>50</v>
      </c>
      <c r="J260" s="16" t="n">
        <v>12</v>
      </c>
      <c r="K260" s="18" t="n">
        <v>0.4</v>
      </c>
      <c r="L260" s="19" t="n">
        <v>17963.19</v>
      </c>
      <c r="M260" s="19" t="n">
        <v>2029.62</v>
      </c>
    </row>
    <row r="261" customFormat="false" ht="15" hidden="false" customHeight="false" outlineLevel="0" collapsed="false">
      <c r="A261" s="16" t="s">
        <v>327</v>
      </c>
      <c r="B261" s="17" t="n">
        <v>45383</v>
      </c>
      <c r="C261" s="17" t="n">
        <v>45385</v>
      </c>
      <c r="D261" s="16" t="s">
        <v>47</v>
      </c>
      <c r="E261" s="16" t="s">
        <v>42</v>
      </c>
      <c r="F261" s="16" t="s">
        <v>55</v>
      </c>
      <c r="G261" s="16" t="s">
        <v>56</v>
      </c>
      <c r="H261" s="16" t="s">
        <v>44</v>
      </c>
      <c r="I261" s="16" t="s">
        <v>67</v>
      </c>
      <c r="J261" s="16" t="n">
        <v>1</v>
      </c>
      <c r="K261" s="18" t="n">
        <v>0.4</v>
      </c>
      <c r="L261" s="19" t="n">
        <v>336.61</v>
      </c>
      <c r="M261" s="19" t="n">
        <v>-56.76</v>
      </c>
    </row>
    <row r="262" customFormat="false" ht="15" hidden="false" customHeight="false" outlineLevel="0" collapsed="false">
      <c r="A262" s="16" t="s">
        <v>328</v>
      </c>
      <c r="B262" s="17" t="n">
        <v>45828</v>
      </c>
      <c r="C262" s="17" t="n">
        <v>45833</v>
      </c>
      <c r="D262" s="16" t="s">
        <v>41</v>
      </c>
      <c r="E262" s="16" t="s">
        <v>26</v>
      </c>
      <c r="F262" s="16" t="s">
        <v>27</v>
      </c>
      <c r="G262" s="16" t="s">
        <v>28</v>
      </c>
      <c r="H262" s="16" t="s">
        <v>29</v>
      </c>
      <c r="I262" s="16" t="s">
        <v>39</v>
      </c>
      <c r="J262" s="16" t="n">
        <v>1</v>
      </c>
      <c r="K262" s="18" t="n">
        <v>0.2</v>
      </c>
      <c r="L262" s="19" t="n">
        <v>9998.66</v>
      </c>
      <c r="M262" s="19" t="n">
        <v>-289.85</v>
      </c>
    </row>
    <row r="263" customFormat="false" ht="15" hidden="false" customHeight="false" outlineLevel="0" collapsed="false">
      <c r="A263" s="16" t="s">
        <v>329</v>
      </c>
      <c r="B263" s="17" t="n">
        <v>45767</v>
      </c>
      <c r="C263" s="17" t="n">
        <v>45772</v>
      </c>
      <c r="D263" s="16" t="s">
        <v>47</v>
      </c>
      <c r="E263" s="16" t="s">
        <v>26</v>
      </c>
      <c r="F263" s="16" t="s">
        <v>59</v>
      </c>
      <c r="G263" s="16" t="s">
        <v>75</v>
      </c>
      <c r="H263" s="16" t="s">
        <v>44</v>
      </c>
      <c r="I263" s="16" t="s">
        <v>63</v>
      </c>
      <c r="J263" s="16" t="n">
        <v>8</v>
      </c>
      <c r="K263" s="18" t="n">
        <v>0.3</v>
      </c>
      <c r="L263" s="19" t="n">
        <v>3443.96</v>
      </c>
      <c r="M263" s="19" t="n">
        <v>-149.64</v>
      </c>
    </row>
    <row r="264" customFormat="false" ht="15" hidden="false" customHeight="false" outlineLevel="0" collapsed="false">
      <c r="A264" s="16" t="s">
        <v>330</v>
      </c>
      <c r="B264" s="17" t="n">
        <v>45556</v>
      </c>
      <c r="C264" s="17" t="n">
        <v>45562</v>
      </c>
      <c r="D264" s="16" t="s">
        <v>25</v>
      </c>
      <c r="E264" s="16" t="s">
        <v>48</v>
      </c>
      <c r="F264" s="16" t="s">
        <v>37</v>
      </c>
      <c r="G264" s="16" t="s">
        <v>38</v>
      </c>
      <c r="H264" s="16" t="s">
        <v>34</v>
      </c>
      <c r="I264" s="16" t="s">
        <v>35</v>
      </c>
      <c r="J264" s="16" t="n">
        <v>3</v>
      </c>
      <c r="K264" s="18" t="n">
        <v>0.15</v>
      </c>
      <c r="L264" s="19" t="n">
        <v>35795.98</v>
      </c>
      <c r="M264" s="19" t="n">
        <v>4955.16</v>
      </c>
    </row>
    <row r="265" customFormat="false" ht="15" hidden="false" customHeight="false" outlineLevel="0" collapsed="false">
      <c r="A265" s="16" t="s">
        <v>331</v>
      </c>
      <c r="B265" s="17" t="n">
        <v>45985</v>
      </c>
      <c r="C265" s="17" t="n">
        <v>45987</v>
      </c>
      <c r="D265" s="16" t="s">
        <v>25</v>
      </c>
      <c r="E265" s="16" t="s">
        <v>42</v>
      </c>
      <c r="F265" s="16" t="s">
        <v>55</v>
      </c>
      <c r="G265" s="16" t="s">
        <v>96</v>
      </c>
      <c r="H265" s="16" t="s">
        <v>44</v>
      </c>
      <c r="I265" s="16" t="s">
        <v>63</v>
      </c>
      <c r="J265" s="16" t="n">
        <v>8</v>
      </c>
      <c r="K265" s="18" t="n">
        <v>0</v>
      </c>
      <c r="L265" s="19" t="n">
        <v>15819.02</v>
      </c>
      <c r="M265" s="19" t="n">
        <v>-1830.86</v>
      </c>
    </row>
    <row r="266" customFormat="false" ht="15" hidden="false" customHeight="false" outlineLevel="0" collapsed="false">
      <c r="A266" s="16" t="s">
        <v>332</v>
      </c>
      <c r="B266" s="17" t="n">
        <v>45914</v>
      </c>
      <c r="C266" s="17" t="n">
        <v>45921</v>
      </c>
      <c r="D266" s="16" t="s">
        <v>47</v>
      </c>
      <c r="E266" s="16" t="s">
        <v>48</v>
      </c>
      <c r="F266" s="16" t="s">
        <v>37</v>
      </c>
      <c r="G266" s="16" t="s">
        <v>91</v>
      </c>
      <c r="H266" s="16" t="s">
        <v>44</v>
      </c>
      <c r="I266" s="16" t="s">
        <v>63</v>
      </c>
      <c r="J266" s="16" t="n">
        <v>8</v>
      </c>
      <c r="K266" s="18" t="n">
        <v>0.4</v>
      </c>
      <c r="L266" s="19" t="n">
        <v>6976.44</v>
      </c>
      <c r="M266" s="19" t="n">
        <v>702.47</v>
      </c>
    </row>
    <row r="267" customFormat="false" ht="15" hidden="false" customHeight="false" outlineLevel="0" collapsed="false">
      <c r="A267" s="16" t="s">
        <v>333</v>
      </c>
      <c r="B267" s="17" t="n">
        <v>45299</v>
      </c>
      <c r="C267" s="17" t="n">
        <v>45304</v>
      </c>
      <c r="D267" s="16" t="s">
        <v>25</v>
      </c>
      <c r="E267" s="16" t="s">
        <v>42</v>
      </c>
      <c r="F267" s="16" t="s">
        <v>37</v>
      </c>
      <c r="G267" s="16" t="s">
        <v>43</v>
      </c>
      <c r="H267" s="16" t="s">
        <v>34</v>
      </c>
      <c r="I267" s="16" t="s">
        <v>57</v>
      </c>
      <c r="J267" s="16" t="n">
        <v>8</v>
      </c>
      <c r="K267" s="18" t="n">
        <v>0.2</v>
      </c>
      <c r="L267" s="19" t="n">
        <v>249438.67</v>
      </c>
      <c r="M267" s="19" t="n">
        <v>-23275.59</v>
      </c>
    </row>
    <row r="268" customFormat="false" ht="15" hidden="false" customHeight="false" outlineLevel="0" collapsed="false">
      <c r="A268" s="16" t="s">
        <v>334</v>
      </c>
      <c r="B268" s="17" t="n">
        <v>46020</v>
      </c>
      <c r="C268" s="17" t="n">
        <v>46026</v>
      </c>
      <c r="D268" s="16" t="s">
        <v>32</v>
      </c>
      <c r="E268" s="16" t="s">
        <v>26</v>
      </c>
      <c r="F268" s="16" t="s">
        <v>27</v>
      </c>
      <c r="G268" s="16" t="s">
        <v>28</v>
      </c>
      <c r="H268" s="16" t="s">
        <v>44</v>
      </c>
      <c r="I268" s="16" t="s">
        <v>67</v>
      </c>
      <c r="J268" s="16" t="n">
        <v>11</v>
      </c>
      <c r="K268" s="18" t="n">
        <v>0.5</v>
      </c>
      <c r="L268" s="19" t="n">
        <v>2781.88</v>
      </c>
      <c r="M268" s="19" t="n">
        <v>969.43</v>
      </c>
    </row>
    <row r="269" customFormat="false" ht="15" hidden="false" customHeight="false" outlineLevel="0" collapsed="false">
      <c r="A269" s="16" t="s">
        <v>335</v>
      </c>
      <c r="B269" s="17" t="n">
        <v>45557</v>
      </c>
      <c r="C269" s="17" t="n">
        <v>45561</v>
      </c>
      <c r="D269" s="16" t="s">
        <v>41</v>
      </c>
      <c r="E269" s="16" t="s">
        <v>48</v>
      </c>
      <c r="F269" s="16" t="s">
        <v>59</v>
      </c>
      <c r="G269" s="16" t="s">
        <v>66</v>
      </c>
      <c r="H269" s="16" t="s">
        <v>44</v>
      </c>
      <c r="I269" s="16" t="s">
        <v>50</v>
      </c>
      <c r="J269" s="16" t="n">
        <v>11</v>
      </c>
      <c r="K269" s="18" t="n">
        <v>0.3</v>
      </c>
      <c r="L269" s="19" t="n">
        <v>18296.75</v>
      </c>
      <c r="M269" s="19" t="n">
        <v>995.14</v>
      </c>
    </row>
    <row r="270" customFormat="false" ht="15" hidden="false" customHeight="false" outlineLevel="0" collapsed="false">
      <c r="A270" s="16" t="s">
        <v>336</v>
      </c>
      <c r="B270" s="17" t="n">
        <v>45466</v>
      </c>
      <c r="C270" s="17" t="n">
        <v>45473</v>
      </c>
      <c r="D270" s="16" t="s">
        <v>41</v>
      </c>
      <c r="E270" s="16" t="s">
        <v>48</v>
      </c>
      <c r="F270" s="16" t="s">
        <v>37</v>
      </c>
      <c r="G270" s="16" t="s">
        <v>38</v>
      </c>
      <c r="H270" s="16" t="s">
        <v>34</v>
      </c>
      <c r="I270" s="16" t="s">
        <v>52</v>
      </c>
      <c r="J270" s="16" t="n">
        <v>12</v>
      </c>
      <c r="K270" s="18" t="n">
        <v>0.1</v>
      </c>
      <c r="L270" s="19" t="n">
        <v>498211.73</v>
      </c>
      <c r="M270" s="19" t="n">
        <v>158508.07</v>
      </c>
    </row>
    <row r="271" customFormat="false" ht="15" hidden="false" customHeight="false" outlineLevel="0" collapsed="false">
      <c r="A271" s="16" t="s">
        <v>337</v>
      </c>
      <c r="B271" s="17" t="n">
        <v>45635</v>
      </c>
      <c r="C271" s="17" t="n">
        <v>45641</v>
      </c>
      <c r="D271" s="16" t="s">
        <v>47</v>
      </c>
      <c r="E271" s="16" t="s">
        <v>42</v>
      </c>
      <c r="F271" s="16" t="s">
        <v>37</v>
      </c>
      <c r="G271" s="16" t="s">
        <v>49</v>
      </c>
      <c r="H271" s="16" t="s">
        <v>29</v>
      </c>
      <c r="I271" s="16" t="s">
        <v>39</v>
      </c>
      <c r="J271" s="16" t="n">
        <v>7</v>
      </c>
      <c r="K271" s="18" t="n">
        <v>0.2</v>
      </c>
      <c r="L271" s="19" t="n">
        <v>112706.05</v>
      </c>
      <c r="M271" s="19" t="n">
        <v>3184.66</v>
      </c>
    </row>
    <row r="272" customFormat="false" ht="15" hidden="false" customHeight="false" outlineLevel="0" collapsed="false">
      <c r="A272" s="16" t="s">
        <v>338</v>
      </c>
      <c r="B272" s="17" t="n">
        <v>45412</v>
      </c>
      <c r="C272" s="17" t="n">
        <v>45416</v>
      </c>
      <c r="D272" s="16" t="s">
        <v>25</v>
      </c>
      <c r="E272" s="16" t="s">
        <v>42</v>
      </c>
      <c r="F272" s="16" t="s">
        <v>55</v>
      </c>
      <c r="G272" s="16" t="s">
        <v>69</v>
      </c>
      <c r="H272" s="16" t="s">
        <v>29</v>
      </c>
      <c r="I272" s="16" t="s">
        <v>78</v>
      </c>
      <c r="J272" s="16" t="n">
        <v>11</v>
      </c>
      <c r="K272" s="18" t="n">
        <v>0.1</v>
      </c>
      <c r="L272" s="19" t="n">
        <v>106706.08</v>
      </c>
      <c r="M272" s="19" t="n">
        <v>-17881.89</v>
      </c>
    </row>
    <row r="273" customFormat="false" ht="15" hidden="false" customHeight="false" outlineLevel="0" collapsed="false">
      <c r="A273" s="16" t="s">
        <v>339</v>
      </c>
      <c r="B273" s="17" t="n">
        <v>45497</v>
      </c>
      <c r="C273" s="17" t="n">
        <v>45500</v>
      </c>
      <c r="D273" s="16" t="s">
        <v>41</v>
      </c>
      <c r="E273" s="16" t="s">
        <v>48</v>
      </c>
      <c r="F273" s="16" t="s">
        <v>55</v>
      </c>
      <c r="G273" s="16" t="s">
        <v>69</v>
      </c>
      <c r="H273" s="16" t="s">
        <v>44</v>
      </c>
      <c r="I273" s="16" t="s">
        <v>98</v>
      </c>
      <c r="J273" s="16" t="n">
        <v>2</v>
      </c>
      <c r="K273" s="18" t="n">
        <v>0</v>
      </c>
      <c r="L273" s="19" t="n">
        <v>3859.99</v>
      </c>
      <c r="M273" s="19" t="n">
        <v>-954.08</v>
      </c>
    </row>
    <row r="274" customFormat="false" ht="15" hidden="false" customHeight="false" outlineLevel="0" collapsed="false">
      <c r="A274" s="16" t="s">
        <v>340</v>
      </c>
      <c r="B274" s="17" t="n">
        <v>45572</v>
      </c>
      <c r="C274" s="17" t="n">
        <v>45574</v>
      </c>
      <c r="D274" s="16" t="s">
        <v>32</v>
      </c>
      <c r="E274" s="16" t="s">
        <v>26</v>
      </c>
      <c r="F274" s="16" t="s">
        <v>55</v>
      </c>
      <c r="G274" s="16" t="s">
        <v>96</v>
      </c>
      <c r="H274" s="16" t="s">
        <v>29</v>
      </c>
      <c r="I274" s="16" t="s">
        <v>39</v>
      </c>
      <c r="J274" s="16" t="n">
        <v>11</v>
      </c>
      <c r="K274" s="18" t="n">
        <v>0</v>
      </c>
      <c r="L274" s="19" t="n">
        <v>130640.66</v>
      </c>
      <c r="M274" s="19" t="n">
        <v>-29703.09</v>
      </c>
    </row>
    <row r="275" customFormat="false" ht="15" hidden="false" customHeight="false" outlineLevel="0" collapsed="false">
      <c r="A275" s="16" t="s">
        <v>341</v>
      </c>
      <c r="B275" s="17" t="n">
        <v>45496</v>
      </c>
      <c r="C275" s="17" t="n">
        <v>45502</v>
      </c>
      <c r="D275" s="16" t="s">
        <v>25</v>
      </c>
      <c r="E275" s="16" t="s">
        <v>26</v>
      </c>
      <c r="F275" s="16" t="s">
        <v>37</v>
      </c>
      <c r="G275" s="16" t="s">
        <v>49</v>
      </c>
      <c r="H275" s="16" t="s">
        <v>44</v>
      </c>
      <c r="I275" s="16" t="s">
        <v>45</v>
      </c>
      <c r="J275" s="16" t="n">
        <v>11</v>
      </c>
      <c r="K275" s="18" t="n">
        <v>0.2</v>
      </c>
      <c r="L275" s="19" t="n">
        <v>6654.3</v>
      </c>
      <c r="M275" s="19" t="n">
        <v>-1148.81</v>
      </c>
    </row>
    <row r="276" customFormat="false" ht="15" hidden="false" customHeight="false" outlineLevel="0" collapsed="false">
      <c r="A276" s="16" t="s">
        <v>342</v>
      </c>
      <c r="B276" s="17" t="n">
        <v>45684</v>
      </c>
      <c r="C276" s="17" t="n">
        <v>45689</v>
      </c>
      <c r="D276" s="16" t="s">
        <v>47</v>
      </c>
      <c r="E276" s="16" t="s">
        <v>26</v>
      </c>
      <c r="F276" s="16" t="s">
        <v>27</v>
      </c>
      <c r="G276" s="16" t="s">
        <v>82</v>
      </c>
      <c r="H276" s="16" t="s">
        <v>34</v>
      </c>
      <c r="I276" s="16" t="s">
        <v>57</v>
      </c>
      <c r="J276" s="16" t="n">
        <v>5</v>
      </c>
      <c r="K276" s="18" t="n">
        <v>0.4</v>
      </c>
      <c r="L276" s="19" t="n">
        <v>96482.65</v>
      </c>
      <c r="M276" s="19" t="n">
        <v>27283.79</v>
      </c>
    </row>
    <row r="277" customFormat="false" ht="15" hidden="false" customHeight="false" outlineLevel="0" collapsed="false">
      <c r="A277" s="16" t="s">
        <v>343</v>
      </c>
      <c r="B277" s="17" t="n">
        <v>45429</v>
      </c>
      <c r="C277" s="17" t="n">
        <v>45432</v>
      </c>
      <c r="D277" s="16" t="s">
        <v>25</v>
      </c>
      <c r="E277" s="16" t="s">
        <v>48</v>
      </c>
      <c r="F277" s="16" t="s">
        <v>27</v>
      </c>
      <c r="G277" s="16" t="s">
        <v>28</v>
      </c>
      <c r="H277" s="16" t="s">
        <v>44</v>
      </c>
      <c r="I277" s="16" t="s">
        <v>80</v>
      </c>
      <c r="J277" s="16" t="n">
        <v>4</v>
      </c>
      <c r="K277" s="18" t="n">
        <v>0</v>
      </c>
      <c r="L277" s="19" t="n">
        <v>11824.6</v>
      </c>
      <c r="M277" s="19" t="n">
        <v>1227.58</v>
      </c>
    </row>
    <row r="278" customFormat="false" ht="15" hidden="false" customHeight="false" outlineLevel="0" collapsed="false">
      <c r="A278" s="16" t="s">
        <v>344</v>
      </c>
      <c r="B278" s="17" t="n">
        <v>45465</v>
      </c>
      <c r="C278" s="17" t="n">
        <v>45466</v>
      </c>
      <c r="D278" s="16" t="s">
        <v>47</v>
      </c>
      <c r="E278" s="16" t="s">
        <v>42</v>
      </c>
      <c r="F278" s="16" t="s">
        <v>59</v>
      </c>
      <c r="G278" s="16" t="s">
        <v>60</v>
      </c>
      <c r="H278" s="16" t="s">
        <v>44</v>
      </c>
      <c r="I278" s="16" t="s">
        <v>63</v>
      </c>
      <c r="J278" s="16" t="n">
        <v>9</v>
      </c>
      <c r="K278" s="18" t="n">
        <v>0</v>
      </c>
      <c r="L278" s="19" t="n">
        <v>16401.42</v>
      </c>
      <c r="M278" s="19" t="n">
        <v>2331.31</v>
      </c>
    </row>
    <row r="279" customFormat="false" ht="15" hidden="false" customHeight="false" outlineLevel="0" collapsed="false">
      <c r="A279" s="16" t="s">
        <v>345</v>
      </c>
      <c r="B279" s="17" t="n">
        <v>45312</v>
      </c>
      <c r="C279" s="17" t="n">
        <v>45313</v>
      </c>
      <c r="D279" s="16" t="s">
        <v>25</v>
      </c>
      <c r="E279" s="16" t="s">
        <v>48</v>
      </c>
      <c r="F279" s="16" t="s">
        <v>55</v>
      </c>
      <c r="G279" s="16" t="s">
        <v>56</v>
      </c>
      <c r="H279" s="16" t="s">
        <v>34</v>
      </c>
      <c r="I279" s="16" t="s">
        <v>35</v>
      </c>
      <c r="J279" s="16" t="n">
        <v>9</v>
      </c>
      <c r="K279" s="18" t="n">
        <v>0</v>
      </c>
      <c r="L279" s="19" t="n">
        <v>121693.07</v>
      </c>
      <c r="M279" s="19" t="n">
        <v>-8437</v>
      </c>
    </row>
    <row r="280" customFormat="false" ht="15" hidden="false" customHeight="false" outlineLevel="0" collapsed="false">
      <c r="A280" s="16" t="s">
        <v>346</v>
      </c>
      <c r="B280" s="17" t="n">
        <v>45969</v>
      </c>
      <c r="C280" s="17" t="n">
        <v>45970</v>
      </c>
      <c r="D280" s="16" t="s">
        <v>25</v>
      </c>
      <c r="E280" s="16" t="s">
        <v>26</v>
      </c>
      <c r="F280" s="16" t="s">
        <v>27</v>
      </c>
      <c r="G280" s="16" t="s">
        <v>33</v>
      </c>
      <c r="H280" s="16" t="s">
        <v>34</v>
      </c>
      <c r="I280" s="16" t="s">
        <v>57</v>
      </c>
      <c r="J280" s="16" t="n">
        <v>5</v>
      </c>
      <c r="K280" s="18" t="n">
        <v>0.15</v>
      </c>
      <c r="L280" s="19" t="n">
        <v>55763.53</v>
      </c>
      <c r="M280" s="19" t="n">
        <v>12088.16</v>
      </c>
    </row>
    <row r="281" customFormat="false" ht="15" hidden="false" customHeight="false" outlineLevel="0" collapsed="false">
      <c r="A281" s="16" t="s">
        <v>347</v>
      </c>
      <c r="B281" s="17" t="n">
        <v>45827</v>
      </c>
      <c r="C281" s="17" t="n">
        <v>45829</v>
      </c>
      <c r="D281" s="16" t="s">
        <v>25</v>
      </c>
      <c r="E281" s="16" t="s">
        <v>26</v>
      </c>
      <c r="F281" s="16" t="s">
        <v>55</v>
      </c>
      <c r="G281" s="16" t="s">
        <v>86</v>
      </c>
      <c r="H281" s="16" t="s">
        <v>44</v>
      </c>
      <c r="I281" s="16" t="s">
        <v>63</v>
      </c>
      <c r="J281" s="16" t="n">
        <v>9</v>
      </c>
      <c r="K281" s="18" t="n">
        <v>0.3</v>
      </c>
      <c r="L281" s="19" t="n">
        <v>4424.57</v>
      </c>
      <c r="M281" s="19" t="n">
        <v>-483.59</v>
      </c>
    </row>
    <row r="282" customFormat="false" ht="15" hidden="false" customHeight="false" outlineLevel="0" collapsed="false">
      <c r="A282" s="16" t="s">
        <v>348</v>
      </c>
      <c r="B282" s="17" t="n">
        <v>45305</v>
      </c>
      <c r="C282" s="17" t="n">
        <v>45311</v>
      </c>
      <c r="D282" s="16" t="s">
        <v>25</v>
      </c>
      <c r="E282" s="16" t="s">
        <v>26</v>
      </c>
      <c r="F282" s="16" t="s">
        <v>55</v>
      </c>
      <c r="G282" s="16" t="s">
        <v>69</v>
      </c>
      <c r="H282" s="16" t="s">
        <v>29</v>
      </c>
      <c r="I282" s="16" t="s">
        <v>78</v>
      </c>
      <c r="J282" s="16" t="n">
        <v>12</v>
      </c>
      <c r="K282" s="18" t="n">
        <v>0.5</v>
      </c>
      <c r="L282" s="19" t="n">
        <v>111853.52</v>
      </c>
      <c r="M282" s="19" t="n">
        <v>38388.08</v>
      </c>
    </row>
    <row r="283" customFormat="false" ht="15" hidden="false" customHeight="false" outlineLevel="0" collapsed="false">
      <c r="A283" s="16" t="s">
        <v>349</v>
      </c>
      <c r="B283" s="17" t="n">
        <v>45595</v>
      </c>
      <c r="C283" s="17" t="n">
        <v>45598</v>
      </c>
      <c r="D283" s="16" t="s">
        <v>47</v>
      </c>
      <c r="E283" s="16" t="s">
        <v>26</v>
      </c>
      <c r="F283" s="16" t="s">
        <v>59</v>
      </c>
      <c r="G283" s="16" t="s">
        <v>66</v>
      </c>
      <c r="H283" s="16" t="s">
        <v>44</v>
      </c>
      <c r="I283" s="16" t="s">
        <v>45</v>
      </c>
      <c r="J283" s="16" t="n">
        <v>6</v>
      </c>
      <c r="K283" s="18" t="n">
        <v>0</v>
      </c>
      <c r="L283" s="19" t="n">
        <v>6041.1</v>
      </c>
      <c r="M283" s="19" t="n">
        <v>1575.2</v>
      </c>
    </row>
    <row r="284" customFormat="false" ht="15" hidden="false" customHeight="false" outlineLevel="0" collapsed="false">
      <c r="A284" s="16" t="s">
        <v>350</v>
      </c>
      <c r="B284" s="17" t="n">
        <v>45338</v>
      </c>
      <c r="C284" s="17" t="n">
        <v>45339</v>
      </c>
      <c r="D284" s="16" t="s">
        <v>47</v>
      </c>
      <c r="E284" s="16" t="s">
        <v>48</v>
      </c>
      <c r="F284" s="16" t="s">
        <v>37</v>
      </c>
      <c r="G284" s="16" t="s">
        <v>43</v>
      </c>
      <c r="H284" s="16" t="s">
        <v>29</v>
      </c>
      <c r="I284" s="16" t="s">
        <v>39</v>
      </c>
      <c r="J284" s="16" t="n">
        <v>12</v>
      </c>
      <c r="K284" s="18" t="n">
        <v>0.4</v>
      </c>
      <c r="L284" s="19" t="n">
        <v>29792.74</v>
      </c>
      <c r="M284" s="19" t="n">
        <v>-293.45</v>
      </c>
    </row>
    <row r="285" customFormat="false" ht="15" hidden="false" customHeight="false" outlineLevel="0" collapsed="false">
      <c r="A285" s="16" t="s">
        <v>351</v>
      </c>
      <c r="B285" s="17" t="n">
        <v>45759</v>
      </c>
      <c r="C285" s="17" t="n">
        <v>45762</v>
      </c>
      <c r="D285" s="16" t="s">
        <v>41</v>
      </c>
      <c r="E285" s="16" t="s">
        <v>42</v>
      </c>
      <c r="F285" s="16" t="s">
        <v>55</v>
      </c>
      <c r="G285" s="16" t="s">
        <v>56</v>
      </c>
      <c r="H285" s="16" t="s">
        <v>44</v>
      </c>
      <c r="I285" s="16" t="s">
        <v>63</v>
      </c>
      <c r="J285" s="16" t="n">
        <v>2</v>
      </c>
      <c r="K285" s="18" t="n">
        <v>0.1</v>
      </c>
      <c r="L285" s="19" t="n">
        <v>3971.87</v>
      </c>
      <c r="M285" s="19" t="n">
        <v>-745.81</v>
      </c>
    </row>
    <row r="286" customFormat="false" ht="15" hidden="false" customHeight="false" outlineLevel="0" collapsed="false">
      <c r="A286" s="16" t="s">
        <v>352</v>
      </c>
      <c r="B286" s="17" t="n">
        <v>45896</v>
      </c>
      <c r="C286" s="17" t="n">
        <v>45900</v>
      </c>
      <c r="D286" s="16" t="s">
        <v>25</v>
      </c>
      <c r="E286" s="16" t="s">
        <v>48</v>
      </c>
      <c r="F286" s="16" t="s">
        <v>27</v>
      </c>
      <c r="G286" s="16" t="s">
        <v>33</v>
      </c>
      <c r="H286" s="16" t="s">
        <v>34</v>
      </c>
      <c r="I286" s="16" t="s">
        <v>61</v>
      </c>
      <c r="J286" s="16" t="n">
        <v>11</v>
      </c>
      <c r="K286" s="18" t="n">
        <v>0.5</v>
      </c>
      <c r="L286" s="19" t="n">
        <v>295174.68</v>
      </c>
      <c r="M286" s="19" t="n">
        <v>89213.24</v>
      </c>
    </row>
    <row r="287" customFormat="false" ht="15" hidden="false" customHeight="false" outlineLevel="0" collapsed="false">
      <c r="A287" s="16" t="s">
        <v>353</v>
      </c>
      <c r="B287" s="17" t="n">
        <v>45407</v>
      </c>
      <c r="C287" s="17" t="n">
        <v>45411</v>
      </c>
      <c r="D287" s="16" t="s">
        <v>47</v>
      </c>
      <c r="E287" s="16" t="s">
        <v>42</v>
      </c>
      <c r="F287" s="16" t="s">
        <v>59</v>
      </c>
      <c r="G287" s="16" t="s">
        <v>71</v>
      </c>
      <c r="H287" s="16" t="s">
        <v>44</v>
      </c>
      <c r="I287" s="16" t="s">
        <v>45</v>
      </c>
      <c r="J287" s="16" t="n">
        <v>1</v>
      </c>
      <c r="K287" s="18" t="n">
        <v>0.15</v>
      </c>
      <c r="L287" s="19" t="n">
        <v>1756.09</v>
      </c>
      <c r="M287" s="19" t="n">
        <v>591.34</v>
      </c>
    </row>
    <row r="288" customFormat="false" ht="15" hidden="false" customHeight="false" outlineLevel="0" collapsed="false">
      <c r="A288" s="16" t="s">
        <v>354</v>
      </c>
      <c r="B288" s="17" t="n">
        <v>45977</v>
      </c>
      <c r="C288" s="17" t="n">
        <v>45984</v>
      </c>
      <c r="D288" s="16" t="s">
        <v>41</v>
      </c>
      <c r="E288" s="16" t="s">
        <v>42</v>
      </c>
      <c r="F288" s="16" t="s">
        <v>59</v>
      </c>
      <c r="G288" s="16" t="s">
        <v>60</v>
      </c>
      <c r="H288" s="16" t="s">
        <v>44</v>
      </c>
      <c r="I288" s="16" t="s">
        <v>98</v>
      </c>
      <c r="J288" s="16" t="n">
        <v>8</v>
      </c>
      <c r="K288" s="18" t="n">
        <v>0</v>
      </c>
      <c r="L288" s="19" t="n">
        <v>16490.06</v>
      </c>
      <c r="M288" s="19" t="n">
        <v>-4007.3</v>
      </c>
    </row>
    <row r="289" customFormat="false" ht="15" hidden="false" customHeight="false" outlineLevel="0" collapsed="false">
      <c r="A289" s="16" t="s">
        <v>355</v>
      </c>
      <c r="B289" s="17" t="n">
        <v>45452</v>
      </c>
      <c r="C289" s="17" t="n">
        <v>45457</v>
      </c>
      <c r="D289" s="16" t="s">
        <v>47</v>
      </c>
      <c r="E289" s="16" t="s">
        <v>48</v>
      </c>
      <c r="F289" s="16" t="s">
        <v>27</v>
      </c>
      <c r="G289" s="16" t="s">
        <v>82</v>
      </c>
      <c r="H289" s="16" t="s">
        <v>44</v>
      </c>
      <c r="I289" s="16" t="s">
        <v>50</v>
      </c>
      <c r="J289" s="16" t="n">
        <v>4</v>
      </c>
      <c r="K289" s="18" t="n">
        <v>0.4</v>
      </c>
      <c r="L289" s="19" t="n">
        <v>2175.97</v>
      </c>
      <c r="M289" s="19" t="n">
        <v>-17.48</v>
      </c>
    </row>
    <row r="290" customFormat="false" ht="15" hidden="false" customHeight="false" outlineLevel="0" collapsed="false">
      <c r="A290" s="16" t="s">
        <v>356</v>
      </c>
      <c r="B290" s="17" t="n">
        <v>45532</v>
      </c>
      <c r="C290" s="17" t="n">
        <v>45533</v>
      </c>
      <c r="D290" s="16" t="s">
        <v>32</v>
      </c>
      <c r="E290" s="16" t="s">
        <v>48</v>
      </c>
      <c r="F290" s="16" t="s">
        <v>55</v>
      </c>
      <c r="G290" s="16" t="s">
        <v>96</v>
      </c>
      <c r="H290" s="16" t="s">
        <v>44</v>
      </c>
      <c r="I290" s="16" t="s">
        <v>50</v>
      </c>
      <c r="J290" s="16" t="n">
        <v>6</v>
      </c>
      <c r="K290" s="18" t="n">
        <v>0</v>
      </c>
      <c r="L290" s="19" t="n">
        <v>9254.3</v>
      </c>
      <c r="M290" s="19" t="n">
        <v>-73.44</v>
      </c>
    </row>
    <row r="291" customFormat="false" ht="15" hidden="false" customHeight="false" outlineLevel="0" collapsed="false">
      <c r="A291" s="16" t="s">
        <v>357</v>
      </c>
      <c r="B291" s="17" t="n">
        <v>45328</v>
      </c>
      <c r="C291" s="17" t="n">
        <v>45333</v>
      </c>
      <c r="D291" s="16" t="s">
        <v>41</v>
      </c>
      <c r="E291" s="16" t="s">
        <v>42</v>
      </c>
      <c r="F291" s="16" t="s">
        <v>59</v>
      </c>
      <c r="G291" s="16" t="s">
        <v>71</v>
      </c>
      <c r="H291" s="16" t="s">
        <v>34</v>
      </c>
      <c r="I291" s="16" t="s">
        <v>35</v>
      </c>
      <c r="J291" s="16" t="n">
        <v>11</v>
      </c>
      <c r="K291" s="18" t="n">
        <v>0</v>
      </c>
      <c r="L291" s="19" t="n">
        <v>250310.88</v>
      </c>
      <c r="M291" s="19" t="n">
        <v>60062.9</v>
      </c>
    </row>
    <row r="292" customFormat="false" ht="15" hidden="false" customHeight="false" outlineLevel="0" collapsed="false">
      <c r="A292" s="16" t="s">
        <v>358</v>
      </c>
      <c r="B292" s="17" t="n">
        <v>45757</v>
      </c>
      <c r="C292" s="17" t="n">
        <v>45760</v>
      </c>
      <c r="D292" s="16" t="s">
        <v>25</v>
      </c>
      <c r="E292" s="16" t="s">
        <v>26</v>
      </c>
      <c r="F292" s="16" t="s">
        <v>37</v>
      </c>
      <c r="G292" s="16" t="s">
        <v>91</v>
      </c>
      <c r="H292" s="16" t="s">
        <v>34</v>
      </c>
      <c r="I292" s="16" t="s">
        <v>61</v>
      </c>
      <c r="J292" s="16" t="n">
        <v>11</v>
      </c>
      <c r="K292" s="18" t="n">
        <v>0.2</v>
      </c>
      <c r="L292" s="19" t="n">
        <v>440424.22</v>
      </c>
      <c r="M292" s="19" t="n">
        <v>34623.66</v>
      </c>
    </row>
    <row r="293" customFormat="false" ht="15" hidden="false" customHeight="false" outlineLevel="0" collapsed="false">
      <c r="A293" s="16" t="s">
        <v>359</v>
      </c>
      <c r="B293" s="17" t="n">
        <v>45674</v>
      </c>
      <c r="C293" s="17" t="n">
        <v>45680</v>
      </c>
      <c r="D293" s="16" t="s">
        <v>32</v>
      </c>
      <c r="E293" s="16" t="s">
        <v>26</v>
      </c>
      <c r="F293" s="16" t="s">
        <v>27</v>
      </c>
      <c r="G293" s="16" t="s">
        <v>33</v>
      </c>
      <c r="H293" s="16" t="s">
        <v>29</v>
      </c>
      <c r="I293" s="16" t="s">
        <v>78</v>
      </c>
      <c r="J293" s="16" t="n">
        <v>2</v>
      </c>
      <c r="K293" s="18" t="n">
        <v>0.4</v>
      </c>
      <c r="L293" s="19" t="n">
        <v>9418.38</v>
      </c>
      <c r="M293" s="19" t="n">
        <v>-1136.29</v>
      </c>
    </row>
    <row r="294" customFormat="false" ht="15" hidden="false" customHeight="false" outlineLevel="0" collapsed="false">
      <c r="A294" s="16" t="s">
        <v>360</v>
      </c>
      <c r="B294" s="17" t="n">
        <v>45487</v>
      </c>
      <c r="C294" s="17" t="n">
        <v>45493</v>
      </c>
      <c r="D294" s="16" t="s">
        <v>25</v>
      </c>
      <c r="E294" s="16" t="s">
        <v>42</v>
      </c>
      <c r="F294" s="16" t="s">
        <v>55</v>
      </c>
      <c r="G294" s="16" t="s">
        <v>96</v>
      </c>
      <c r="H294" s="16" t="s">
        <v>44</v>
      </c>
      <c r="I294" s="16" t="s">
        <v>45</v>
      </c>
      <c r="J294" s="16" t="n">
        <v>8</v>
      </c>
      <c r="K294" s="18" t="n">
        <v>0.5</v>
      </c>
      <c r="L294" s="19" t="n">
        <v>7236.07</v>
      </c>
      <c r="M294" s="19" t="n">
        <v>-1790.19</v>
      </c>
    </row>
    <row r="295" customFormat="false" ht="15" hidden="false" customHeight="false" outlineLevel="0" collapsed="false">
      <c r="A295" s="16" t="s">
        <v>361</v>
      </c>
      <c r="B295" s="17" t="n">
        <v>45341</v>
      </c>
      <c r="C295" s="17" t="n">
        <v>45346</v>
      </c>
      <c r="D295" s="16" t="s">
        <v>41</v>
      </c>
      <c r="E295" s="16" t="s">
        <v>42</v>
      </c>
      <c r="F295" s="16" t="s">
        <v>55</v>
      </c>
      <c r="G295" s="16" t="s">
        <v>69</v>
      </c>
      <c r="H295" s="16" t="s">
        <v>44</v>
      </c>
      <c r="I295" s="16" t="s">
        <v>98</v>
      </c>
      <c r="J295" s="16" t="n">
        <v>12</v>
      </c>
      <c r="K295" s="18" t="n">
        <v>0.3</v>
      </c>
      <c r="L295" s="19" t="n">
        <v>3362.57</v>
      </c>
      <c r="M295" s="19" t="n">
        <v>176.42</v>
      </c>
    </row>
    <row r="296" customFormat="false" ht="15" hidden="false" customHeight="false" outlineLevel="0" collapsed="false">
      <c r="A296" s="16" t="s">
        <v>362</v>
      </c>
      <c r="B296" s="17" t="n">
        <v>45685</v>
      </c>
      <c r="C296" s="17" t="n">
        <v>45689</v>
      </c>
      <c r="D296" s="16" t="s">
        <v>47</v>
      </c>
      <c r="E296" s="16" t="s">
        <v>48</v>
      </c>
      <c r="F296" s="16" t="s">
        <v>37</v>
      </c>
      <c r="G296" s="16" t="s">
        <v>91</v>
      </c>
      <c r="H296" s="16" t="s">
        <v>34</v>
      </c>
      <c r="I296" s="16" t="s">
        <v>52</v>
      </c>
      <c r="J296" s="16" t="n">
        <v>8</v>
      </c>
      <c r="K296" s="18" t="n">
        <v>0.2</v>
      </c>
      <c r="L296" s="19" t="n">
        <v>235185.15</v>
      </c>
      <c r="M296" s="19" t="n">
        <v>60170.86</v>
      </c>
    </row>
    <row r="297" customFormat="false" ht="15" hidden="false" customHeight="false" outlineLevel="0" collapsed="false">
      <c r="A297" s="16" t="s">
        <v>363</v>
      </c>
      <c r="B297" s="17" t="n">
        <v>45852</v>
      </c>
      <c r="C297" s="17" t="n">
        <v>45859</v>
      </c>
      <c r="D297" s="16" t="s">
        <v>47</v>
      </c>
      <c r="E297" s="16" t="s">
        <v>26</v>
      </c>
      <c r="F297" s="16" t="s">
        <v>27</v>
      </c>
      <c r="G297" s="16" t="s">
        <v>28</v>
      </c>
      <c r="H297" s="16" t="s">
        <v>44</v>
      </c>
      <c r="I297" s="16" t="s">
        <v>63</v>
      </c>
      <c r="J297" s="16" t="n">
        <v>11</v>
      </c>
      <c r="K297" s="18" t="n">
        <v>0.1</v>
      </c>
      <c r="L297" s="19" t="n">
        <v>20293.85</v>
      </c>
      <c r="M297" s="19" t="n">
        <v>1062.1</v>
      </c>
    </row>
    <row r="298" customFormat="false" ht="15" hidden="false" customHeight="false" outlineLevel="0" collapsed="false">
      <c r="A298" s="16" t="s">
        <v>364</v>
      </c>
      <c r="B298" s="17" t="n">
        <v>46002</v>
      </c>
      <c r="C298" s="17" t="n">
        <v>46008</v>
      </c>
      <c r="D298" s="16" t="s">
        <v>32</v>
      </c>
      <c r="E298" s="16" t="s">
        <v>42</v>
      </c>
      <c r="F298" s="16" t="s">
        <v>59</v>
      </c>
      <c r="G298" s="16" t="s">
        <v>71</v>
      </c>
      <c r="H298" s="16" t="s">
        <v>44</v>
      </c>
      <c r="I298" s="16" t="s">
        <v>63</v>
      </c>
      <c r="J298" s="16" t="n">
        <v>10</v>
      </c>
      <c r="K298" s="18" t="n">
        <v>0.2</v>
      </c>
      <c r="L298" s="19" t="n">
        <v>16278.05</v>
      </c>
      <c r="M298" s="19" t="n">
        <v>4500.66</v>
      </c>
    </row>
    <row r="299" customFormat="false" ht="15" hidden="false" customHeight="false" outlineLevel="0" collapsed="false">
      <c r="A299" s="16" t="s">
        <v>365</v>
      </c>
      <c r="B299" s="17" t="n">
        <v>45724</v>
      </c>
      <c r="C299" s="17" t="n">
        <v>45731</v>
      </c>
      <c r="D299" s="16" t="s">
        <v>25</v>
      </c>
      <c r="E299" s="16" t="s">
        <v>26</v>
      </c>
      <c r="F299" s="16" t="s">
        <v>59</v>
      </c>
      <c r="G299" s="16" t="s">
        <v>60</v>
      </c>
      <c r="H299" s="16" t="s">
        <v>29</v>
      </c>
      <c r="I299" s="16" t="s">
        <v>78</v>
      </c>
      <c r="J299" s="16" t="n">
        <v>11</v>
      </c>
      <c r="K299" s="18" t="n">
        <v>0.2</v>
      </c>
      <c r="L299" s="19" t="n">
        <v>29056.81</v>
      </c>
      <c r="M299" s="19" t="n">
        <v>4650.08</v>
      </c>
    </row>
    <row r="300" customFormat="false" ht="15" hidden="false" customHeight="false" outlineLevel="0" collapsed="false">
      <c r="A300" s="16" t="s">
        <v>366</v>
      </c>
      <c r="B300" s="17" t="n">
        <v>45441</v>
      </c>
      <c r="C300" s="17" t="n">
        <v>45448</v>
      </c>
      <c r="D300" s="16" t="s">
        <v>32</v>
      </c>
      <c r="E300" s="16" t="s">
        <v>48</v>
      </c>
      <c r="F300" s="16" t="s">
        <v>27</v>
      </c>
      <c r="G300" s="16" t="s">
        <v>82</v>
      </c>
      <c r="H300" s="16" t="s">
        <v>29</v>
      </c>
      <c r="I300" s="16" t="s">
        <v>30</v>
      </c>
      <c r="J300" s="16" t="n">
        <v>2</v>
      </c>
      <c r="K300" s="18" t="n">
        <v>0.15</v>
      </c>
      <c r="L300" s="19" t="n">
        <v>27489.86</v>
      </c>
      <c r="M300" s="19" t="n">
        <v>5372.83</v>
      </c>
    </row>
    <row r="301" customFormat="false" ht="15" hidden="false" customHeight="false" outlineLevel="0" collapsed="false">
      <c r="A301" s="16" t="s">
        <v>367</v>
      </c>
      <c r="B301" s="17" t="n">
        <v>45866</v>
      </c>
      <c r="C301" s="17" t="n">
        <v>45870</v>
      </c>
      <c r="D301" s="16" t="s">
        <v>32</v>
      </c>
      <c r="E301" s="16" t="s">
        <v>48</v>
      </c>
      <c r="F301" s="16" t="s">
        <v>59</v>
      </c>
      <c r="G301" s="16" t="s">
        <v>60</v>
      </c>
      <c r="H301" s="16" t="s">
        <v>29</v>
      </c>
      <c r="I301" s="16" t="s">
        <v>30</v>
      </c>
      <c r="J301" s="16" t="n">
        <v>11</v>
      </c>
      <c r="K301" s="18" t="n">
        <v>0.2</v>
      </c>
      <c r="L301" s="19" t="n">
        <v>80881.17</v>
      </c>
      <c r="M301" s="19" t="n">
        <v>-10364.73</v>
      </c>
    </row>
    <row r="302" customFormat="false" ht="15" hidden="false" customHeight="false" outlineLevel="0" collapsed="false">
      <c r="A302" s="16" t="s">
        <v>368</v>
      </c>
      <c r="B302" s="17" t="n">
        <v>45745</v>
      </c>
      <c r="C302" s="17" t="n">
        <v>45752</v>
      </c>
      <c r="D302" s="16" t="s">
        <v>32</v>
      </c>
      <c r="E302" s="16" t="s">
        <v>48</v>
      </c>
      <c r="F302" s="16" t="s">
        <v>27</v>
      </c>
      <c r="G302" s="16" t="s">
        <v>28</v>
      </c>
      <c r="H302" s="16" t="s">
        <v>29</v>
      </c>
      <c r="I302" s="16" t="s">
        <v>30</v>
      </c>
      <c r="J302" s="16" t="n">
        <v>3</v>
      </c>
      <c r="K302" s="18" t="n">
        <v>0</v>
      </c>
      <c r="L302" s="19" t="n">
        <v>73858.28</v>
      </c>
      <c r="M302" s="19" t="n">
        <v>-1749.04</v>
      </c>
    </row>
    <row r="303" customFormat="false" ht="15" hidden="false" customHeight="false" outlineLevel="0" collapsed="false">
      <c r="A303" s="16" t="s">
        <v>369</v>
      </c>
      <c r="B303" s="17" t="n">
        <v>45730</v>
      </c>
      <c r="C303" s="17" t="n">
        <v>45733</v>
      </c>
      <c r="D303" s="16" t="s">
        <v>47</v>
      </c>
      <c r="E303" s="16" t="s">
        <v>42</v>
      </c>
      <c r="F303" s="16" t="s">
        <v>27</v>
      </c>
      <c r="G303" s="16" t="s">
        <v>28</v>
      </c>
      <c r="H303" s="16" t="s">
        <v>34</v>
      </c>
      <c r="I303" s="16" t="s">
        <v>57</v>
      </c>
      <c r="J303" s="16" t="n">
        <v>1</v>
      </c>
      <c r="K303" s="18" t="n">
        <v>0.1</v>
      </c>
      <c r="L303" s="19" t="n">
        <v>9500.52</v>
      </c>
      <c r="M303" s="19" t="n">
        <v>2918.34</v>
      </c>
    </row>
    <row r="304" customFormat="false" ht="15" hidden="false" customHeight="false" outlineLevel="0" collapsed="false">
      <c r="A304" s="16" t="s">
        <v>370</v>
      </c>
      <c r="B304" s="17" t="n">
        <v>45903</v>
      </c>
      <c r="C304" s="17" t="n">
        <v>45904</v>
      </c>
      <c r="D304" s="16" t="s">
        <v>47</v>
      </c>
      <c r="E304" s="16" t="s">
        <v>26</v>
      </c>
      <c r="F304" s="16" t="s">
        <v>55</v>
      </c>
      <c r="G304" s="16" t="s">
        <v>86</v>
      </c>
      <c r="H304" s="16" t="s">
        <v>34</v>
      </c>
      <c r="I304" s="16" t="s">
        <v>57</v>
      </c>
      <c r="J304" s="16" t="n">
        <v>9</v>
      </c>
      <c r="K304" s="18" t="n">
        <v>0.1</v>
      </c>
      <c r="L304" s="19" t="n">
        <v>44455.42</v>
      </c>
      <c r="M304" s="19" t="n">
        <v>-19.62</v>
      </c>
    </row>
    <row r="305" customFormat="false" ht="15" hidden="false" customHeight="false" outlineLevel="0" collapsed="false">
      <c r="A305" s="16" t="s">
        <v>371</v>
      </c>
      <c r="B305" s="17" t="n">
        <v>45841</v>
      </c>
      <c r="C305" s="17" t="n">
        <v>45845</v>
      </c>
      <c r="D305" s="16" t="s">
        <v>47</v>
      </c>
      <c r="E305" s="16" t="s">
        <v>42</v>
      </c>
      <c r="F305" s="16" t="s">
        <v>27</v>
      </c>
      <c r="G305" s="16" t="s">
        <v>28</v>
      </c>
      <c r="H305" s="16" t="s">
        <v>29</v>
      </c>
      <c r="I305" s="16" t="s">
        <v>30</v>
      </c>
      <c r="J305" s="16" t="n">
        <v>6</v>
      </c>
      <c r="K305" s="18" t="n">
        <v>0.5</v>
      </c>
      <c r="L305" s="19" t="n">
        <v>30895.05</v>
      </c>
      <c r="M305" s="19" t="n">
        <v>10750.82</v>
      </c>
    </row>
    <row r="306" customFormat="false" ht="15" hidden="false" customHeight="false" outlineLevel="0" collapsed="false">
      <c r="A306" s="16" t="s">
        <v>372</v>
      </c>
      <c r="B306" s="17" t="n">
        <v>45956</v>
      </c>
      <c r="C306" s="17" t="n">
        <v>45957</v>
      </c>
      <c r="D306" s="16" t="s">
        <v>41</v>
      </c>
      <c r="E306" s="16" t="s">
        <v>42</v>
      </c>
      <c r="F306" s="16" t="s">
        <v>55</v>
      </c>
      <c r="G306" s="16" t="s">
        <v>69</v>
      </c>
      <c r="H306" s="16" t="s">
        <v>29</v>
      </c>
      <c r="I306" s="16" t="s">
        <v>30</v>
      </c>
      <c r="J306" s="16" t="n">
        <v>1</v>
      </c>
      <c r="K306" s="18" t="n">
        <v>0</v>
      </c>
      <c r="L306" s="19" t="n">
        <v>17698.68</v>
      </c>
      <c r="M306" s="19" t="n">
        <v>-326.97</v>
      </c>
    </row>
    <row r="307" customFormat="false" ht="15" hidden="false" customHeight="false" outlineLevel="0" collapsed="false">
      <c r="A307" s="16" t="s">
        <v>373</v>
      </c>
      <c r="B307" s="17" t="n">
        <v>45845</v>
      </c>
      <c r="C307" s="17" t="n">
        <v>45851</v>
      </c>
      <c r="D307" s="16" t="s">
        <v>25</v>
      </c>
      <c r="E307" s="16" t="s">
        <v>48</v>
      </c>
      <c r="F307" s="16" t="s">
        <v>37</v>
      </c>
      <c r="G307" s="16" t="s">
        <v>91</v>
      </c>
      <c r="H307" s="16" t="s">
        <v>44</v>
      </c>
      <c r="I307" s="16" t="s">
        <v>45</v>
      </c>
      <c r="J307" s="16" t="n">
        <v>5</v>
      </c>
      <c r="K307" s="18" t="n">
        <v>0</v>
      </c>
      <c r="L307" s="19" t="n">
        <v>3291.43</v>
      </c>
      <c r="M307" s="19" t="n">
        <v>-492.28</v>
      </c>
    </row>
    <row r="308" customFormat="false" ht="15" hidden="false" customHeight="false" outlineLevel="0" collapsed="false">
      <c r="A308" s="16" t="s">
        <v>374</v>
      </c>
      <c r="B308" s="17" t="n">
        <v>45842</v>
      </c>
      <c r="C308" s="17" t="n">
        <v>45847</v>
      </c>
      <c r="D308" s="16" t="s">
        <v>32</v>
      </c>
      <c r="E308" s="16" t="s">
        <v>42</v>
      </c>
      <c r="F308" s="16" t="s">
        <v>27</v>
      </c>
      <c r="G308" s="16" t="s">
        <v>28</v>
      </c>
      <c r="H308" s="16" t="s">
        <v>29</v>
      </c>
      <c r="I308" s="16" t="s">
        <v>78</v>
      </c>
      <c r="J308" s="16" t="n">
        <v>2</v>
      </c>
      <c r="K308" s="18" t="n">
        <v>0.4</v>
      </c>
      <c r="L308" s="19" t="n">
        <v>8074</v>
      </c>
      <c r="M308" s="19" t="n">
        <v>1113.7</v>
      </c>
    </row>
    <row r="309" customFormat="false" ht="15" hidden="false" customHeight="false" outlineLevel="0" collapsed="false">
      <c r="A309" s="16" t="s">
        <v>375</v>
      </c>
      <c r="B309" s="17" t="n">
        <v>45365</v>
      </c>
      <c r="C309" s="17" t="n">
        <v>45371</v>
      </c>
      <c r="D309" s="16" t="s">
        <v>47</v>
      </c>
      <c r="E309" s="16" t="s">
        <v>42</v>
      </c>
      <c r="F309" s="16" t="s">
        <v>59</v>
      </c>
      <c r="G309" s="16" t="s">
        <v>60</v>
      </c>
      <c r="H309" s="16" t="s">
        <v>34</v>
      </c>
      <c r="I309" s="16" t="s">
        <v>52</v>
      </c>
      <c r="J309" s="16" t="n">
        <v>1</v>
      </c>
      <c r="K309" s="18" t="n">
        <v>0</v>
      </c>
      <c r="L309" s="19" t="n">
        <v>47961.57</v>
      </c>
      <c r="M309" s="19" t="n">
        <v>4555.26</v>
      </c>
    </row>
    <row r="310" customFormat="false" ht="15" hidden="false" customHeight="false" outlineLevel="0" collapsed="false">
      <c r="A310" s="16" t="s">
        <v>376</v>
      </c>
      <c r="B310" s="17" t="n">
        <v>45525</v>
      </c>
      <c r="C310" s="17" t="n">
        <v>45528</v>
      </c>
      <c r="D310" s="16" t="s">
        <v>47</v>
      </c>
      <c r="E310" s="16" t="s">
        <v>48</v>
      </c>
      <c r="F310" s="16" t="s">
        <v>55</v>
      </c>
      <c r="G310" s="16" t="s">
        <v>56</v>
      </c>
      <c r="H310" s="16" t="s">
        <v>44</v>
      </c>
      <c r="I310" s="16" t="s">
        <v>50</v>
      </c>
      <c r="J310" s="16" t="n">
        <v>1</v>
      </c>
      <c r="K310" s="18" t="n">
        <v>0</v>
      </c>
      <c r="L310" s="19" t="n">
        <v>443.09</v>
      </c>
      <c r="M310" s="19" t="n">
        <v>90.2</v>
      </c>
    </row>
    <row r="311" customFormat="false" ht="15" hidden="false" customHeight="false" outlineLevel="0" collapsed="false">
      <c r="A311" s="16" t="s">
        <v>377</v>
      </c>
      <c r="B311" s="17" t="n">
        <v>45891</v>
      </c>
      <c r="C311" s="17" t="n">
        <v>45892</v>
      </c>
      <c r="D311" s="16" t="s">
        <v>47</v>
      </c>
      <c r="E311" s="16" t="s">
        <v>48</v>
      </c>
      <c r="F311" s="16" t="s">
        <v>37</v>
      </c>
      <c r="G311" s="16" t="s">
        <v>38</v>
      </c>
      <c r="H311" s="16" t="s">
        <v>34</v>
      </c>
      <c r="I311" s="16" t="s">
        <v>35</v>
      </c>
      <c r="J311" s="16" t="n">
        <v>10</v>
      </c>
      <c r="K311" s="18" t="n">
        <v>0.4</v>
      </c>
      <c r="L311" s="19" t="n">
        <v>162624.33</v>
      </c>
      <c r="M311" s="19" t="n">
        <v>39562.18</v>
      </c>
    </row>
    <row r="312" customFormat="false" ht="15" hidden="false" customHeight="false" outlineLevel="0" collapsed="false">
      <c r="A312" s="16" t="s">
        <v>378</v>
      </c>
      <c r="B312" s="17" t="n">
        <v>45323</v>
      </c>
      <c r="C312" s="17" t="n">
        <v>45327</v>
      </c>
      <c r="D312" s="16" t="s">
        <v>47</v>
      </c>
      <c r="E312" s="16" t="s">
        <v>42</v>
      </c>
      <c r="F312" s="16" t="s">
        <v>27</v>
      </c>
      <c r="G312" s="16" t="s">
        <v>33</v>
      </c>
      <c r="H312" s="16" t="s">
        <v>29</v>
      </c>
      <c r="I312" s="16" t="s">
        <v>39</v>
      </c>
      <c r="J312" s="16" t="n">
        <v>11</v>
      </c>
      <c r="K312" s="18" t="n">
        <v>0.3</v>
      </c>
      <c r="L312" s="19" t="n">
        <v>40915.78</v>
      </c>
      <c r="M312" s="19" t="n">
        <v>13274.51</v>
      </c>
    </row>
    <row r="313" customFormat="false" ht="15" hidden="false" customHeight="false" outlineLevel="0" collapsed="false">
      <c r="A313" s="16" t="s">
        <v>379</v>
      </c>
      <c r="B313" s="17" t="n">
        <v>45303</v>
      </c>
      <c r="C313" s="17" t="n">
        <v>45308</v>
      </c>
      <c r="D313" s="16" t="s">
        <v>32</v>
      </c>
      <c r="E313" s="16" t="s">
        <v>26</v>
      </c>
      <c r="F313" s="16" t="s">
        <v>59</v>
      </c>
      <c r="G313" s="16" t="s">
        <v>75</v>
      </c>
      <c r="H313" s="16" t="s">
        <v>34</v>
      </c>
      <c r="I313" s="16" t="s">
        <v>52</v>
      </c>
      <c r="J313" s="16" t="n">
        <v>9</v>
      </c>
      <c r="K313" s="18" t="n">
        <v>0.3</v>
      </c>
      <c r="L313" s="19" t="n">
        <v>86864.99</v>
      </c>
      <c r="M313" s="19" t="n">
        <v>-10680.73</v>
      </c>
    </row>
    <row r="314" customFormat="false" ht="15" hidden="false" customHeight="false" outlineLevel="0" collapsed="false">
      <c r="A314" s="16" t="s">
        <v>380</v>
      </c>
      <c r="B314" s="17" t="n">
        <v>45953</v>
      </c>
      <c r="C314" s="17" t="n">
        <v>45960</v>
      </c>
      <c r="D314" s="16" t="s">
        <v>47</v>
      </c>
      <c r="E314" s="16" t="s">
        <v>26</v>
      </c>
      <c r="F314" s="16" t="s">
        <v>27</v>
      </c>
      <c r="G314" s="16" t="s">
        <v>28</v>
      </c>
      <c r="H314" s="16" t="s">
        <v>34</v>
      </c>
      <c r="I314" s="16" t="s">
        <v>52</v>
      </c>
      <c r="J314" s="16" t="n">
        <v>4</v>
      </c>
      <c r="K314" s="18" t="n">
        <v>0</v>
      </c>
      <c r="L314" s="19" t="n">
        <v>138746.48</v>
      </c>
      <c r="M314" s="19" t="n">
        <v>36189.61</v>
      </c>
    </row>
    <row r="315" customFormat="false" ht="15" hidden="false" customHeight="false" outlineLevel="0" collapsed="false">
      <c r="A315" s="16" t="s">
        <v>381</v>
      </c>
      <c r="B315" s="17" t="n">
        <v>45854</v>
      </c>
      <c r="C315" s="17" t="n">
        <v>45858</v>
      </c>
      <c r="D315" s="16" t="s">
        <v>25</v>
      </c>
      <c r="E315" s="16" t="s">
        <v>48</v>
      </c>
      <c r="F315" s="16" t="s">
        <v>37</v>
      </c>
      <c r="G315" s="16" t="s">
        <v>38</v>
      </c>
      <c r="H315" s="16" t="s">
        <v>34</v>
      </c>
      <c r="I315" s="16" t="s">
        <v>35</v>
      </c>
      <c r="J315" s="16" t="n">
        <v>4</v>
      </c>
      <c r="K315" s="18" t="n">
        <v>0.1</v>
      </c>
      <c r="L315" s="19" t="n">
        <v>75077.21</v>
      </c>
      <c r="M315" s="19" t="n">
        <v>11470.1</v>
      </c>
    </row>
    <row r="316" customFormat="false" ht="15" hidden="false" customHeight="false" outlineLevel="0" collapsed="false">
      <c r="A316" s="16" t="s">
        <v>382</v>
      </c>
      <c r="B316" s="17" t="n">
        <v>45532</v>
      </c>
      <c r="C316" s="17" t="n">
        <v>45533</v>
      </c>
      <c r="D316" s="16" t="s">
        <v>32</v>
      </c>
      <c r="E316" s="16" t="s">
        <v>48</v>
      </c>
      <c r="F316" s="16" t="s">
        <v>59</v>
      </c>
      <c r="G316" s="16" t="s">
        <v>66</v>
      </c>
      <c r="H316" s="16" t="s">
        <v>44</v>
      </c>
      <c r="I316" s="16" t="s">
        <v>98</v>
      </c>
      <c r="J316" s="16" t="n">
        <v>8</v>
      </c>
      <c r="K316" s="18" t="n">
        <v>0.1</v>
      </c>
      <c r="L316" s="19" t="n">
        <v>14488.74</v>
      </c>
      <c r="M316" s="19" t="n">
        <v>1294.3</v>
      </c>
    </row>
    <row r="317" customFormat="false" ht="15" hidden="false" customHeight="false" outlineLevel="0" collapsed="false">
      <c r="A317" s="16" t="s">
        <v>383</v>
      </c>
      <c r="B317" s="17" t="n">
        <v>45665</v>
      </c>
      <c r="C317" s="17" t="n">
        <v>45672</v>
      </c>
      <c r="D317" s="16" t="s">
        <v>41</v>
      </c>
      <c r="E317" s="16" t="s">
        <v>48</v>
      </c>
      <c r="F317" s="16" t="s">
        <v>27</v>
      </c>
      <c r="G317" s="16" t="s">
        <v>82</v>
      </c>
      <c r="H317" s="16" t="s">
        <v>44</v>
      </c>
      <c r="I317" s="16" t="s">
        <v>50</v>
      </c>
      <c r="J317" s="16" t="n">
        <v>4</v>
      </c>
      <c r="K317" s="18" t="n">
        <v>0.3</v>
      </c>
      <c r="L317" s="19" t="n">
        <v>5483.61</v>
      </c>
      <c r="M317" s="19" t="n">
        <v>-929.01</v>
      </c>
    </row>
    <row r="318" customFormat="false" ht="15" hidden="false" customHeight="false" outlineLevel="0" collapsed="false">
      <c r="A318" s="16" t="s">
        <v>384</v>
      </c>
      <c r="B318" s="17" t="n">
        <v>45631</v>
      </c>
      <c r="C318" s="17" t="n">
        <v>45635</v>
      </c>
      <c r="D318" s="16" t="s">
        <v>25</v>
      </c>
      <c r="E318" s="16" t="s">
        <v>48</v>
      </c>
      <c r="F318" s="16" t="s">
        <v>37</v>
      </c>
      <c r="G318" s="16" t="s">
        <v>43</v>
      </c>
      <c r="H318" s="16" t="s">
        <v>44</v>
      </c>
      <c r="I318" s="16" t="s">
        <v>50</v>
      </c>
      <c r="J318" s="16" t="n">
        <v>3</v>
      </c>
      <c r="K318" s="18" t="n">
        <v>0.1</v>
      </c>
      <c r="L318" s="19" t="n">
        <v>911.85</v>
      </c>
      <c r="M318" s="19" t="n">
        <v>259.68</v>
      </c>
    </row>
    <row r="319" customFormat="false" ht="15" hidden="false" customHeight="false" outlineLevel="0" collapsed="false">
      <c r="A319" s="16" t="s">
        <v>385</v>
      </c>
      <c r="B319" s="17" t="n">
        <v>45493</v>
      </c>
      <c r="C319" s="17" t="n">
        <v>45496</v>
      </c>
      <c r="D319" s="16" t="s">
        <v>25</v>
      </c>
      <c r="E319" s="16" t="s">
        <v>42</v>
      </c>
      <c r="F319" s="16" t="s">
        <v>59</v>
      </c>
      <c r="G319" s="16" t="s">
        <v>75</v>
      </c>
      <c r="H319" s="16" t="s">
        <v>34</v>
      </c>
      <c r="I319" s="16" t="s">
        <v>35</v>
      </c>
      <c r="J319" s="16" t="n">
        <v>10</v>
      </c>
      <c r="K319" s="18" t="n">
        <v>0</v>
      </c>
      <c r="L319" s="19" t="n">
        <v>139465</v>
      </c>
      <c r="M319" s="19" t="n">
        <v>11290.58</v>
      </c>
    </row>
    <row r="320" customFormat="false" ht="15" hidden="false" customHeight="false" outlineLevel="0" collapsed="false">
      <c r="A320" s="16" t="s">
        <v>386</v>
      </c>
      <c r="B320" s="17" t="n">
        <v>45848</v>
      </c>
      <c r="C320" s="17" t="n">
        <v>45853</v>
      </c>
      <c r="D320" s="16" t="s">
        <v>41</v>
      </c>
      <c r="E320" s="16" t="s">
        <v>48</v>
      </c>
      <c r="F320" s="16" t="s">
        <v>27</v>
      </c>
      <c r="G320" s="16" t="s">
        <v>73</v>
      </c>
      <c r="H320" s="16" t="s">
        <v>44</v>
      </c>
      <c r="I320" s="16" t="s">
        <v>63</v>
      </c>
      <c r="J320" s="16" t="n">
        <v>10</v>
      </c>
      <c r="K320" s="18" t="n">
        <v>0</v>
      </c>
      <c r="L320" s="19" t="n">
        <v>9438.98</v>
      </c>
      <c r="M320" s="19" t="n">
        <v>-112.6</v>
      </c>
    </row>
    <row r="321" customFormat="false" ht="15" hidden="false" customHeight="false" outlineLevel="0" collapsed="false">
      <c r="A321" s="16" t="s">
        <v>387</v>
      </c>
      <c r="B321" s="17" t="n">
        <v>45806</v>
      </c>
      <c r="C321" s="17" t="n">
        <v>45807</v>
      </c>
      <c r="D321" s="16" t="s">
        <v>41</v>
      </c>
      <c r="E321" s="16" t="s">
        <v>48</v>
      </c>
      <c r="F321" s="16" t="s">
        <v>27</v>
      </c>
      <c r="G321" s="16" t="s">
        <v>28</v>
      </c>
      <c r="H321" s="16" t="s">
        <v>34</v>
      </c>
      <c r="I321" s="16" t="s">
        <v>52</v>
      </c>
      <c r="J321" s="16" t="n">
        <v>3</v>
      </c>
      <c r="K321" s="18" t="n">
        <v>0.1</v>
      </c>
      <c r="L321" s="19" t="n">
        <v>141813.22</v>
      </c>
      <c r="M321" s="19" t="n">
        <v>27164.59</v>
      </c>
    </row>
    <row r="322" customFormat="false" ht="15" hidden="false" customHeight="false" outlineLevel="0" collapsed="false">
      <c r="A322" s="16" t="s">
        <v>388</v>
      </c>
      <c r="B322" s="17" t="n">
        <v>45787</v>
      </c>
      <c r="C322" s="17" t="n">
        <v>45790</v>
      </c>
      <c r="D322" s="16" t="s">
        <v>47</v>
      </c>
      <c r="E322" s="16" t="s">
        <v>26</v>
      </c>
      <c r="F322" s="16" t="s">
        <v>55</v>
      </c>
      <c r="G322" s="16" t="s">
        <v>69</v>
      </c>
      <c r="H322" s="16" t="s">
        <v>29</v>
      </c>
      <c r="I322" s="16" t="s">
        <v>39</v>
      </c>
      <c r="J322" s="16" t="n">
        <v>6</v>
      </c>
      <c r="K322" s="18" t="n">
        <v>0.3</v>
      </c>
      <c r="L322" s="19" t="n">
        <v>31006.2</v>
      </c>
      <c r="M322" s="19" t="n">
        <v>-531.57</v>
      </c>
    </row>
    <row r="323" customFormat="false" ht="15" hidden="false" customHeight="false" outlineLevel="0" collapsed="false">
      <c r="A323" s="16" t="s">
        <v>389</v>
      </c>
      <c r="B323" s="17" t="n">
        <v>45757</v>
      </c>
      <c r="C323" s="17" t="n">
        <v>45758</v>
      </c>
      <c r="D323" s="16" t="s">
        <v>47</v>
      </c>
      <c r="E323" s="16" t="s">
        <v>42</v>
      </c>
      <c r="F323" s="16" t="s">
        <v>59</v>
      </c>
      <c r="G323" s="16" t="s">
        <v>71</v>
      </c>
      <c r="H323" s="16" t="s">
        <v>29</v>
      </c>
      <c r="I323" s="16" t="s">
        <v>30</v>
      </c>
      <c r="J323" s="16" t="n">
        <v>10</v>
      </c>
      <c r="K323" s="18" t="n">
        <v>0.3</v>
      </c>
      <c r="L323" s="19" t="n">
        <v>101640.36</v>
      </c>
      <c r="M323" s="19" t="n">
        <v>10429.04</v>
      </c>
    </row>
    <row r="324" customFormat="false" ht="15" hidden="false" customHeight="false" outlineLevel="0" collapsed="false">
      <c r="A324" s="16" t="s">
        <v>390</v>
      </c>
      <c r="B324" s="17" t="n">
        <v>45371</v>
      </c>
      <c r="C324" s="17" t="n">
        <v>45376</v>
      </c>
      <c r="D324" s="16" t="s">
        <v>47</v>
      </c>
      <c r="E324" s="16" t="s">
        <v>48</v>
      </c>
      <c r="F324" s="16" t="s">
        <v>27</v>
      </c>
      <c r="G324" s="16" t="s">
        <v>33</v>
      </c>
      <c r="H324" s="16" t="s">
        <v>44</v>
      </c>
      <c r="I324" s="16" t="s">
        <v>50</v>
      </c>
      <c r="J324" s="16" t="n">
        <v>8</v>
      </c>
      <c r="K324" s="18" t="n">
        <v>0.1</v>
      </c>
      <c r="L324" s="19" t="n">
        <v>19244.15</v>
      </c>
      <c r="M324" s="19" t="n">
        <v>268.25</v>
      </c>
    </row>
    <row r="325" customFormat="false" ht="15" hidden="false" customHeight="false" outlineLevel="0" collapsed="false">
      <c r="A325" s="16" t="s">
        <v>391</v>
      </c>
      <c r="B325" s="17" t="n">
        <v>45527</v>
      </c>
      <c r="C325" s="17" t="n">
        <v>45528</v>
      </c>
      <c r="D325" s="16" t="s">
        <v>41</v>
      </c>
      <c r="E325" s="16" t="s">
        <v>26</v>
      </c>
      <c r="F325" s="16" t="s">
        <v>27</v>
      </c>
      <c r="G325" s="16" t="s">
        <v>28</v>
      </c>
      <c r="H325" s="16" t="s">
        <v>34</v>
      </c>
      <c r="I325" s="16" t="s">
        <v>57</v>
      </c>
      <c r="J325" s="16" t="n">
        <v>6</v>
      </c>
      <c r="K325" s="18" t="n">
        <v>0.4</v>
      </c>
      <c r="L325" s="19" t="n">
        <v>144629.69</v>
      </c>
      <c r="M325" s="19" t="n">
        <v>34234.37</v>
      </c>
    </row>
    <row r="326" customFormat="false" ht="15" hidden="false" customHeight="false" outlineLevel="0" collapsed="false">
      <c r="A326" s="16" t="s">
        <v>392</v>
      </c>
      <c r="B326" s="17" t="n">
        <v>45408</v>
      </c>
      <c r="C326" s="17" t="n">
        <v>45412</v>
      </c>
      <c r="D326" s="16" t="s">
        <v>41</v>
      </c>
      <c r="E326" s="16" t="s">
        <v>42</v>
      </c>
      <c r="F326" s="16" t="s">
        <v>55</v>
      </c>
      <c r="G326" s="16" t="s">
        <v>69</v>
      </c>
      <c r="H326" s="16" t="s">
        <v>34</v>
      </c>
      <c r="I326" s="16" t="s">
        <v>61</v>
      </c>
      <c r="J326" s="16" t="n">
        <v>11</v>
      </c>
      <c r="K326" s="18" t="n">
        <v>0.1</v>
      </c>
      <c r="L326" s="19" t="n">
        <v>39837.04</v>
      </c>
      <c r="M326" s="19" t="n">
        <v>-6739.06</v>
      </c>
    </row>
    <row r="327" customFormat="false" ht="15" hidden="false" customHeight="false" outlineLevel="0" collapsed="false">
      <c r="A327" s="16" t="s">
        <v>393</v>
      </c>
      <c r="B327" s="17" t="n">
        <v>45816</v>
      </c>
      <c r="C327" s="17" t="n">
        <v>45817</v>
      </c>
      <c r="D327" s="16" t="s">
        <v>41</v>
      </c>
      <c r="E327" s="16" t="s">
        <v>48</v>
      </c>
      <c r="F327" s="16" t="s">
        <v>59</v>
      </c>
      <c r="G327" s="16" t="s">
        <v>66</v>
      </c>
      <c r="H327" s="16" t="s">
        <v>34</v>
      </c>
      <c r="I327" s="16" t="s">
        <v>52</v>
      </c>
      <c r="J327" s="16" t="n">
        <v>9</v>
      </c>
      <c r="K327" s="18" t="n">
        <v>0</v>
      </c>
      <c r="L327" s="19" t="n">
        <v>310237.88</v>
      </c>
      <c r="M327" s="19" t="n">
        <v>85968.59</v>
      </c>
    </row>
    <row r="328" customFormat="false" ht="15" hidden="false" customHeight="false" outlineLevel="0" collapsed="false">
      <c r="A328" s="16" t="s">
        <v>394</v>
      </c>
      <c r="B328" s="17" t="n">
        <v>45969</v>
      </c>
      <c r="C328" s="17" t="n">
        <v>45976</v>
      </c>
      <c r="D328" s="16" t="s">
        <v>32</v>
      </c>
      <c r="E328" s="16" t="s">
        <v>42</v>
      </c>
      <c r="F328" s="16" t="s">
        <v>27</v>
      </c>
      <c r="G328" s="16" t="s">
        <v>33</v>
      </c>
      <c r="H328" s="16" t="s">
        <v>44</v>
      </c>
      <c r="I328" s="16" t="s">
        <v>45</v>
      </c>
      <c r="J328" s="16" t="n">
        <v>8</v>
      </c>
      <c r="K328" s="18" t="n">
        <v>0.1</v>
      </c>
      <c r="L328" s="19" t="n">
        <v>18057.99</v>
      </c>
      <c r="M328" s="19" t="n">
        <v>2237.87</v>
      </c>
    </row>
    <row r="329" customFormat="false" ht="15" hidden="false" customHeight="false" outlineLevel="0" collapsed="false">
      <c r="A329" s="16" t="s">
        <v>395</v>
      </c>
      <c r="B329" s="17" t="n">
        <v>45815</v>
      </c>
      <c r="C329" s="17" t="n">
        <v>45818</v>
      </c>
      <c r="D329" s="16" t="s">
        <v>32</v>
      </c>
      <c r="E329" s="16" t="s">
        <v>26</v>
      </c>
      <c r="F329" s="16" t="s">
        <v>55</v>
      </c>
      <c r="G329" s="16" t="s">
        <v>96</v>
      </c>
      <c r="H329" s="16" t="s">
        <v>29</v>
      </c>
      <c r="I329" s="16" t="s">
        <v>30</v>
      </c>
      <c r="J329" s="16" t="n">
        <v>7</v>
      </c>
      <c r="K329" s="18" t="n">
        <v>0.4</v>
      </c>
      <c r="L329" s="19" t="n">
        <v>21171.79</v>
      </c>
      <c r="M329" s="19" t="n">
        <v>5206.32</v>
      </c>
    </row>
    <row r="330" customFormat="false" ht="15" hidden="false" customHeight="false" outlineLevel="0" collapsed="false">
      <c r="A330" s="16" t="s">
        <v>396</v>
      </c>
      <c r="B330" s="17" t="n">
        <v>45912</v>
      </c>
      <c r="C330" s="17" t="n">
        <v>45913</v>
      </c>
      <c r="D330" s="16" t="s">
        <v>32</v>
      </c>
      <c r="E330" s="16" t="s">
        <v>26</v>
      </c>
      <c r="F330" s="16" t="s">
        <v>59</v>
      </c>
      <c r="G330" s="16" t="s">
        <v>75</v>
      </c>
      <c r="H330" s="16" t="s">
        <v>29</v>
      </c>
      <c r="I330" s="16" t="s">
        <v>107</v>
      </c>
      <c r="J330" s="16" t="n">
        <v>11</v>
      </c>
      <c r="K330" s="18" t="n">
        <v>0.4</v>
      </c>
      <c r="L330" s="19" t="n">
        <v>32983.92</v>
      </c>
      <c r="M330" s="19" t="n">
        <v>2085.46</v>
      </c>
    </row>
    <row r="331" customFormat="false" ht="15" hidden="false" customHeight="false" outlineLevel="0" collapsed="false">
      <c r="A331" s="16" t="s">
        <v>397</v>
      </c>
      <c r="B331" s="17" t="n">
        <v>45671</v>
      </c>
      <c r="C331" s="17" t="n">
        <v>45678</v>
      </c>
      <c r="D331" s="16" t="s">
        <v>47</v>
      </c>
      <c r="E331" s="16" t="s">
        <v>48</v>
      </c>
      <c r="F331" s="16" t="s">
        <v>27</v>
      </c>
      <c r="G331" s="16" t="s">
        <v>33</v>
      </c>
      <c r="H331" s="16" t="s">
        <v>29</v>
      </c>
      <c r="I331" s="16" t="s">
        <v>107</v>
      </c>
      <c r="J331" s="16" t="n">
        <v>10</v>
      </c>
      <c r="K331" s="18" t="n">
        <v>0</v>
      </c>
      <c r="L331" s="19" t="n">
        <v>205062.84</v>
      </c>
      <c r="M331" s="19" t="n">
        <v>1085.53</v>
      </c>
    </row>
    <row r="332" customFormat="false" ht="15" hidden="false" customHeight="false" outlineLevel="0" collapsed="false">
      <c r="A332" s="16" t="s">
        <v>398</v>
      </c>
      <c r="B332" s="17" t="n">
        <v>45552</v>
      </c>
      <c r="C332" s="17" t="n">
        <v>45556</v>
      </c>
      <c r="D332" s="16" t="s">
        <v>41</v>
      </c>
      <c r="E332" s="16" t="s">
        <v>48</v>
      </c>
      <c r="F332" s="16" t="s">
        <v>37</v>
      </c>
      <c r="G332" s="16" t="s">
        <v>91</v>
      </c>
      <c r="H332" s="16" t="s">
        <v>29</v>
      </c>
      <c r="I332" s="16" t="s">
        <v>78</v>
      </c>
      <c r="J332" s="16" t="n">
        <v>1</v>
      </c>
      <c r="K332" s="18" t="n">
        <v>0</v>
      </c>
      <c r="L332" s="19" t="n">
        <v>18310.42</v>
      </c>
      <c r="M332" s="19" t="n">
        <v>1132.63</v>
      </c>
    </row>
    <row r="333" customFormat="false" ht="15" hidden="false" customHeight="false" outlineLevel="0" collapsed="false">
      <c r="A333" s="16" t="s">
        <v>399</v>
      </c>
      <c r="B333" s="17" t="n">
        <v>45676</v>
      </c>
      <c r="C333" s="17" t="n">
        <v>45682</v>
      </c>
      <c r="D333" s="16" t="s">
        <v>41</v>
      </c>
      <c r="E333" s="16" t="s">
        <v>26</v>
      </c>
      <c r="F333" s="16" t="s">
        <v>55</v>
      </c>
      <c r="G333" s="16" t="s">
        <v>86</v>
      </c>
      <c r="H333" s="16" t="s">
        <v>29</v>
      </c>
      <c r="I333" s="16" t="s">
        <v>30</v>
      </c>
      <c r="J333" s="16" t="n">
        <v>7</v>
      </c>
      <c r="K333" s="18" t="n">
        <v>0.4</v>
      </c>
      <c r="L333" s="19" t="n">
        <v>71342.24</v>
      </c>
      <c r="M333" s="19" t="n">
        <v>6335.34</v>
      </c>
    </row>
    <row r="334" customFormat="false" ht="15" hidden="false" customHeight="false" outlineLevel="0" collapsed="false">
      <c r="A334" s="16" t="s">
        <v>400</v>
      </c>
      <c r="B334" s="17" t="n">
        <v>45918</v>
      </c>
      <c r="C334" s="17" t="n">
        <v>45921</v>
      </c>
      <c r="D334" s="16" t="s">
        <v>32</v>
      </c>
      <c r="E334" s="16" t="s">
        <v>42</v>
      </c>
      <c r="F334" s="16" t="s">
        <v>27</v>
      </c>
      <c r="G334" s="16" t="s">
        <v>33</v>
      </c>
      <c r="H334" s="16" t="s">
        <v>34</v>
      </c>
      <c r="I334" s="16" t="s">
        <v>61</v>
      </c>
      <c r="J334" s="16" t="n">
        <v>3</v>
      </c>
      <c r="K334" s="18" t="n">
        <v>0.2</v>
      </c>
      <c r="L334" s="19" t="n">
        <v>39230.38</v>
      </c>
      <c r="M334" s="19" t="n">
        <v>3789.29</v>
      </c>
    </row>
    <row r="335" customFormat="false" ht="15" hidden="false" customHeight="false" outlineLevel="0" collapsed="false">
      <c r="A335" s="16" t="s">
        <v>401</v>
      </c>
      <c r="B335" s="17" t="n">
        <v>46014</v>
      </c>
      <c r="C335" s="17" t="n">
        <v>46018</v>
      </c>
      <c r="D335" s="16" t="s">
        <v>41</v>
      </c>
      <c r="E335" s="16" t="s">
        <v>48</v>
      </c>
      <c r="F335" s="16" t="s">
        <v>59</v>
      </c>
      <c r="G335" s="16" t="s">
        <v>66</v>
      </c>
      <c r="H335" s="16" t="s">
        <v>34</v>
      </c>
      <c r="I335" s="16" t="s">
        <v>52</v>
      </c>
      <c r="J335" s="16" t="n">
        <v>2</v>
      </c>
      <c r="K335" s="18" t="n">
        <v>0</v>
      </c>
      <c r="L335" s="19" t="n">
        <v>42597.23</v>
      </c>
      <c r="M335" s="19" t="n">
        <v>-6541.11</v>
      </c>
    </row>
    <row r="336" customFormat="false" ht="15" hidden="false" customHeight="false" outlineLevel="0" collapsed="false">
      <c r="A336" s="16" t="s">
        <v>402</v>
      </c>
      <c r="B336" s="17" t="n">
        <v>45943</v>
      </c>
      <c r="C336" s="17" t="n">
        <v>45944</v>
      </c>
      <c r="D336" s="16" t="s">
        <v>25</v>
      </c>
      <c r="E336" s="16" t="s">
        <v>26</v>
      </c>
      <c r="F336" s="16" t="s">
        <v>55</v>
      </c>
      <c r="G336" s="16" t="s">
        <v>56</v>
      </c>
      <c r="H336" s="16" t="s">
        <v>29</v>
      </c>
      <c r="I336" s="16" t="s">
        <v>39</v>
      </c>
      <c r="J336" s="16" t="n">
        <v>5</v>
      </c>
      <c r="K336" s="18" t="n">
        <v>0.4</v>
      </c>
      <c r="L336" s="19" t="n">
        <v>21302.15</v>
      </c>
      <c r="M336" s="19" t="n">
        <v>6569.82</v>
      </c>
    </row>
    <row r="337" customFormat="false" ht="15" hidden="false" customHeight="false" outlineLevel="0" collapsed="false">
      <c r="A337" s="16" t="s">
        <v>403</v>
      </c>
      <c r="B337" s="17" t="n">
        <v>45702</v>
      </c>
      <c r="C337" s="17" t="n">
        <v>45707</v>
      </c>
      <c r="D337" s="16" t="s">
        <v>32</v>
      </c>
      <c r="E337" s="16" t="s">
        <v>42</v>
      </c>
      <c r="F337" s="16" t="s">
        <v>59</v>
      </c>
      <c r="G337" s="16" t="s">
        <v>66</v>
      </c>
      <c r="H337" s="16" t="s">
        <v>34</v>
      </c>
      <c r="I337" s="16" t="s">
        <v>57</v>
      </c>
      <c r="J337" s="16" t="n">
        <v>8</v>
      </c>
      <c r="K337" s="18" t="n">
        <v>0.2</v>
      </c>
      <c r="L337" s="19" t="n">
        <v>358075.97</v>
      </c>
      <c r="M337" s="19" t="n">
        <v>-47678.57</v>
      </c>
    </row>
    <row r="338" customFormat="false" ht="15" hidden="false" customHeight="false" outlineLevel="0" collapsed="false">
      <c r="A338" s="16" t="s">
        <v>404</v>
      </c>
      <c r="B338" s="17" t="n">
        <v>45905</v>
      </c>
      <c r="C338" s="17" t="n">
        <v>45910</v>
      </c>
      <c r="D338" s="16" t="s">
        <v>41</v>
      </c>
      <c r="E338" s="16" t="s">
        <v>48</v>
      </c>
      <c r="F338" s="16" t="s">
        <v>27</v>
      </c>
      <c r="G338" s="16" t="s">
        <v>82</v>
      </c>
      <c r="H338" s="16" t="s">
        <v>34</v>
      </c>
      <c r="I338" s="16" t="s">
        <v>52</v>
      </c>
      <c r="J338" s="16" t="n">
        <v>11</v>
      </c>
      <c r="K338" s="18" t="n">
        <v>0.4</v>
      </c>
      <c r="L338" s="19" t="n">
        <v>394771.1</v>
      </c>
      <c r="M338" s="19" t="n">
        <v>-15050.02</v>
      </c>
    </row>
    <row r="339" customFormat="false" ht="15" hidden="false" customHeight="false" outlineLevel="0" collapsed="false">
      <c r="A339" s="16" t="s">
        <v>405</v>
      </c>
      <c r="B339" s="17" t="n">
        <v>45696</v>
      </c>
      <c r="C339" s="17" t="n">
        <v>45700</v>
      </c>
      <c r="D339" s="16" t="s">
        <v>47</v>
      </c>
      <c r="E339" s="16" t="s">
        <v>26</v>
      </c>
      <c r="F339" s="16" t="s">
        <v>59</v>
      </c>
      <c r="G339" s="16" t="s">
        <v>75</v>
      </c>
      <c r="H339" s="16" t="s">
        <v>34</v>
      </c>
      <c r="I339" s="16" t="s">
        <v>52</v>
      </c>
      <c r="J339" s="16" t="n">
        <v>12</v>
      </c>
      <c r="K339" s="18" t="n">
        <v>0.2</v>
      </c>
      <c r="L339" s="19" t="n">
        <v>209890.29</v>
      </c>
      <c r="M339" s="19" t="n">
        <v>-23974.23</v>
      </c>
    </row>
    <row r="340" customFormat="false" ht="15" hidden="false" customHeight="false" outlineLevel="0" collapsed="false">
      <c r="A340" s="16" t="s">
        <v>406</v>
      </c>
      <c r="B340" s="17" t="n">
        <v>45491</v>
      </c>
      <c r="C340" s="17" t="n">
        <v>45495</v>
      </c>
      <c r="D340" s="16" t="s">
        <v>32</v>
      </c>
      <c r="E340" s="16" t="s">
        <v>26</v>
      </c>
      <c r="F340" s="16" t="s">
        <v>59</v>
      </c>
      <c r="G340" s="16" t="s">
        <v>71</v>
      </c>
      <c r="H340" s="16" t="s">
        <v>44</v>
      </c>
      <c r="I340" s="16" t="s">
        <v>98</v>
      </c>
      <c r="J340" s="16" t="n">
        <v>9</v>
      </c>
      <c r="K340" s="18" t="n">
        <v>0</v>
      </c>
      <c r="L340" s="19" t="n">
        <v>2789.27</v>
      </c>
      <c r="M340" s="19" t="n">
        <v>646.46</v>
      </c>
    </row>
    <row r="341" customFormat="false" ht="15" hidden="false" customHeight="false" outlineLevel="0" collapsed="false">
      <c r="A341" s="16" t="s">
        <v>407</v>
      </c>
      <c r="B341" s="17" t="n">
        <v>45555</v>
      </c>
      <c r="C341" s="17" t="n">
        <v>45560</v>
      </c>
      <c r="D341" s="16" t="s">
        <v>32</v>
      </c>
      <c r="E341" s="16" t="s">
        <v>42</v>
      </c>
      <c r="F341" s="16" t="s">
        <v>55</v>
      </c>
      <c r="G341" s="16" t="s">
        <v>56</v>
      </c>
      <c r="H341" s="16" t="s">
        <v>34</v>
      </c>
      <c r="I341" s="16" t="s">
        <v>57</v>
      </c>
      <c r="J341" s="16" t="n">
        <v>4</v>
      </c>
      <c r="K341" s="18" t="n">
        <v>0.5</v>
      </c>
      <c r="L341" s="19" t="n">
        <v>56685.27</v>
      </c>
      <c r="M341" s="19" t="n">
        <v>16320.5</v>
      </c>
    </row>
    <row r="342" customFormat="false" ht="15" hidden="false" customHeight="false" outlineLevel="0" collapsed="false">
      <c r="A342" s="16" t="s">
        <v>408</v>
      </c>
      <c r="B342" s="17" t="n">
        <v>45320</v>
      </c>
      <c r="C342" s="17" t="n">
        <v>45324</v>
      </c>
      <c r="D342" s="16" t="s">
        <v>41</v>
      </c>
      <c r="E342" s="16" t="s">
        <v>42</v>
      </c>
      <c r="F342" s="16" t="s">
        <v>59</v>
      </c>
      <c r="G342" s="16" t="s">
        <v>60</v>
      </c>
      <c r="H342" s="16" t="s">
        <v>29</v>
      </c>
      <c r="I342" s="16" t="s">
        <v>30</v>
      </c>
      <c r="J342" s="16" t="n">
        <v>11</v>
      </c>
      <c r="K342" s="18" t="n">
        <v>0.3</v>
      </c>
      <c r="L342" s="19" t="n">
        <v>139578.29</v>
      </c>
      <c r="M342" s="19" t="n">
        <v>8361.09</v>
      </c>
    </row>
    <row r="343" customFormat="false" ht="15" hidden="false" customHeight="false" outlineLevel="0" collapsed="false">
      <c r="A343" s="16" t="s">
        <v>409</v>
      </c>
      <c r="B343" s="17" t="n">
        <v>45301</v>
      </c>
      <c r="C343" s="17" t="n">
        <v>45307</v>
      </c>
      <c r="D343" s="16" t="s">
        <v>47</v>
      </c>
      <c r="E343" s="16" t="s">
        <v>48</v>
      </c>
      <c r="F343" s="16" t="s">
        <v>37</v>
      </c>
      <c r="G343" s="16" t="s">
        <v>38</v>
      </c>
      <c r="H343" s="16" t="s">
        <v>44</v>
      </c>
      <c r="I343" s="16" t="s">
        <v>67</v>
      </c>
      <c r="J343" s="16" t="n">
        <v>2</v>
      </c>
      <c r="K343" s="18" t="n">
        <v>0.15</v>
      </c>
      <c r="L343" s="19" t="n">
        <v>1049.93</v>
      </c>
      <c r="M343" s="19" t="n">
        <v>300.9</v>
      </c>
    </row>
    <row r="344" customFormat="false" ht="15" hidden="false" customHeight="false" outlineLevel="0" collapsed="false">
      <c r="A344" s="16" t="s">
        <v>410</v>
      </c>
      <c r="B344" s="17" t="n">
        <v>45567</v>
      </c>
      <c r="C344" s="17" t="n">
        <v>45569</v>
      </c>
      <c r="D344" s="16" t="s">
        <v>41</v>
      </c>
      <c r="E344" s="16" t="s">
        <v>26</v>
      </c>
      <c r="F344" s="16" t="s">
        <v>55</v>
      </c>
      <c r="G344" s="16" t="s">
        <v>69</v>
      </c>
      <c r="H344" s="16" t="s">
        <v>34</v>
      </c>
      <c r="I344" s="16" t="s">
        <v>52</v>
      </c>
      <c r="J344" s="16" t="n">
        <v>5</v>
      </c>
      <c r="K344" s="18" t="n">
        <v>0.3</v>
      </c>
      <c r="L344" s="19" t="n">
        <v>56375.14</v>
      </c>
      <c r="M344" s="19" t="n">
        <v>-8817.22</v>
      </c>
    </row>
    <row r="345" customFormat="false" ht="15" hidden="false" customHeight="false" outlineLevel="0" collapsed="false">
      <c r="A345" s="16" t="s">
        <v>411</v>
      </c>
      <c r="B345" s="17" t="n">
        <v>45401</v>
      </c>
      <c r="C345" s="17" t="n">
        <v>45402</v>
      </c>
      <c r="D345" s="16" t="s">
        <v>47</v>
      </c>
      <c r="E345" s="16" t="s">
        <v>48</v>
      </c>
      <c r="F345" s="16" t="s">
        <v>59</v>
      </c>
      <c r="G345" s="16" t="s">
        <v>75</v>
      </c>
      <c r="H345" s="16" t="s">
        <v>29</v>
      </c>
      <c r="I345" s="16" t="s">
        <v>107</v>
      </c>
      <c r="J345" s="16" t="n">
        <v>10</v>
      </c>
      <c r="K345" s="18" t="n">
        <v>0.2</v>
      </c>
      <c r="L345" s="19" t="n">
        <v>74036.71</v>
      </c>
      <c r="M345" s="19" t="n">
        <v>3293.39</v>
      </c>
    </row>
    <row r="346" customFormat="false" ht="15" hidden="false" customHeight="false" outlineLevel="0" collapsed="false">
      <c r="A346" s="16" t="s">
        <v>412</v>
      </c>
      <c r="B346" s="17" t="n">
        <v>45815</v>
      </c>
      <c r="C346" s="17" t="n">
        <v>45818</v>
      </c>
      <c r="D346" s="16" t="s">
        <v>32</v>
      </c>
      <c r="E346" s="16" t="s">
        <v>42</v>
      </c>
      <c r="F346" s="16" t="s">
        <v>27</v>
      </c>
      <c r="G346" s="16" t="s">
        <v>82</v>
      </c>
      <c r="H346" s="16" t="s">
        <v>44</v>
      </c>
      <c r="I346" s="16" t="s">
        <v>67</v>
      </c>
      <c r="J346" s="16" t="n">
        <v>8</v>
      </c>
      <c r="K346" s="18" t="n">
        <v>0.1</v>
      </c>
      <c r="L346" s="19" t="n">
        <v>1399.91</v>
      </c>
      <c r="M346" s="19" t="n">
        <v>34.04</v>
      </c>
    </row>
    <row r="347" customFormat="false" ht="15" hidden="false" customHeight="false" outlineLevel="0" collapsed="false">
      <c r="A347" s="16" t="s">
        <v>413</v>
      </c>
      <c r="B347" s="17" t="n">
        <v>45415</v>
      </c>
      <c r="C347" s="17" t="n">
        <v>45421</v>
      </c>
      <c r="D347" s="16" t="s">
        <v>41</v>
      </c>
      <c r="E347" s="16" t="s">
        <v>26</v>
      </c>
      <c r="F347" s="16" t="s">
        <v>37</v>
      </c>
      <c r="G347" s="16" t="s">
        <v>38</v>
      </c>
      <c r="H347" s="16" t="s">
        <v>34</v>
      </c>
      <c r="I347" s="16" t="s">
        <v>61</v>
      </c>
      <c r="J347" s="16" t="n">
        <v>7</v>
      </c>
      <c r="K347" s="18" t="n">
        <v>0.2</v>
      </c>
      <c r="L347" s="19" t="n">
        <v>209146.1</v>
      </c>
      <c r="M347" s="19" t="n">
        <v>-28801.2</v>
      </c>
    </row>
    <row r="348" customFormat="false" ht="15" hidden="false" customHeight="false" outlineLevel="0" collapsed="false">
      <c r="A348" s="16" t="s">
        <v>414</v>
      </c>
      <c r="B348" s="17" t="n">
        <v>45561</v>
      </c>
      <c r="C348" s="17" t="n">
        <v>45563</v>
      </c>
      <c r="D348" s="16" t="s">
        <v>32</v>
      </c>
      <c r="E348" s="16" t="s">
        <v>26</v>
      </c>
      <c r="F348" s="16" t="s">
        <v>37</v>
      </c>
      <c r="G348" s="16" t="s">
        <v>43</v>
      </c>
      <c r="H348" s="16" t="s">
        <v>44</v>
      </c>
      <c r="I348" s="16" t="s">
        <v>50</v>
      </c>
      <c r="J348" s="16" t="n">
        <v>7</v>
      </c>
      <c r="K348" s="18" t="n">
        <v>0.4</v>
      </c>
      <c r="L348" s="19" t="n">
        <v>8954.68</v>
      </c>
      <c r="M348" s="19" t="n">
        <v>-736.27</v>
      </c>
    </row>
    <row r="349" customFormat="false" ht="15" hidden="false" customHeight="false" outlineLevel="0" collapsed="false">
      <c r="A349" s="16" t="s">
        <v>415</v>
      </c>
      <c r="B349" s="17" t="n">
        <v>45476</v>
      </c>
      <c r="C349" s="17" t="n">
        <v>45481</v>
      </c>
      <c r="D349" s="16" t="s">
        <v>32</v>
      </c>
      <c r="E349" s="16" t="s">
        <v>26</v>
      </c>
      <c r="F349" s="16" t="s">
        <v>59</v>
      </c>
      <c r="G349" s="16" t="s">
        <v>71</v>
      </c>
      <c r="H349" s="16" t="s">
        <v>29</v>
      </c>
      <c r="I349" s="16" t="s">
        <v>39</v>
      </c>
      <c r="J349" s="16" t="n">
        <v>7</v>
      </c>
      <c r="K349" s="18" t="n">
        <v>0.5</v>
      </c>
      <c r="L349" s="19" t="n">
        <v>22783.09</v>
      </c>
      <c r="M349" s="19" t="n">
        <v>5317.6</v>
      </c>
    </row>
    <row r="350" customFormat="false" ht="15" hidden="false" customHeight="false" outlineLevel="0" collapsed="false">
      <c r="A350" s="16" t="s">
        <v>416</v>
      </c>
      <c r="B350" s="17" t="n">
        <v>45472</v>
      </c>
      <c r="C350" s="17" t="n">
        <v>45476</v>
      </c>
      <c r="D350" s="16" t="s">
        <v>47</v>
      </c>
      <c r="E350" s="16" t="s">
        <v>48</v>
      </c>
      <c r="F350" s="16" t="s">
        <v>37</v>
      </c>
      <c r="G350" s="16" t="s">
        <v>91</v>
      </c>
      <c r="H350" s="16" t="s">
        <v>44</v>
      </c>
      <c r="I350" s="16" t="s">
        <v>67</v>
      </c>
      <c r="J350" s="16" t="n">
        <v>9</v>
      </c>
      <c r="K350" s="18" t="n">
        <v>0.1</v>
      </c>
      <c r="L350" s="19" t="n">
        <v>1930.69</v>
      </c>
      <c r="M350" s="19" t="n">
        <v>-413.13</v>
      </c>
    </row>
    <row r="351" customFormat="false" ht="15" hidden="false" customHeight="false" outlineLevel="0" collapsed="false">
      <c r="A351" s="16" t="s">
        <v>417</v>
      </c>
      <c r="B351" s="17" t="n">
        <v>45552</v>
      </c>
      <c r="C351" s="17" t="n">
        <v>45556</v>
      </c>
      <c r="D351" s="16" t="s">
        <v>47</v>
      </c>
      <c r="E351" s="16" t="s">
        <v>48</v>
      </c>
      <c r="F351" s="16" t="s">
        <v>55</v>
      </c>
      <c r="G351" s="16" t="s">
        <v>86</v>
      </c>
      <c r="H351" s="16" t="s">
        <v>34</v>
      </c>
      <c r="I351" s="16" t="s">
        <v>35</v>
      </c>
      <c r="J351" s="16" t="n">
        <v>6</v>
      </c>
      <c r="K351" s="18" t="n">
        <v>0</v>
      </c>
      <c r="L351" s="19" t="n">
        <v>99457.9</v>
      </c>
      <c r="M351" s="19" t="n">
        <v>-292.75</v>
      </c>
    </row>
    <row r="352" customFormat="false" ht="15" hidden="false" customHeight="false" outlineLevel="0" collapsed="false">
      <c r="A352" s="16" t="s">
        <v>418</v>
      </c>
      <c r="B352" s="17" t="n">
        <v>45651</v>
      </c>
      <c r="C352" s="17" t="n">
        <v>45658</v>
      </c>
      <c r="D352" s="16" t="s">
        <v>47</v>
      </c>
      <c r="E352" s="16" t="s">
        <v>48</v>
      </c>
      <c r="F352" s="16" t="s">
        <v>27</v>
      </c>
      <c r="G352" s="16" t="s">
        <v>73</v>
      </c>
      <c r="H352" s="16" t="s">
        <v>34</v>
      </c>
      <c r="I352" s="16" t="s">
        <v>52</v>
      </c>
      <c r="J352" s="16" t="n">
        <v>11</v>
      </c>
      <c r="K352" s="18" t="n">
        <v>0</v>
      </c>
      <c r="L352" s="19" t="n">
        <v>304099.53</v>
      </c>
      <c r="M352" s="19" t="n">
        <v>-6494.78</v>
      </c>
    </row>
    <row r="353" customFormat="false" ht="15" hidden="false" customHeight="false" outlineLevel="0" collapsed="false">
      <c r="A353" s="16" t="s">
        <v>419</v>
      </c>
      <c r="B353" s="17" t="n">
        <v>45585</v>
      </c>
      <c r="C353" s="17" t="n">
        <v>45589</v>
      </c>
      <c r="D353" s="16" t="s">
        <v>32</v>
      </c>
      <c r="E353" s="16" t="s">
        <v>48</v>
      </c>
      <c r="F353" s="16" t="s">
        <v>27</v>
      </c>
      <c r="G353" s="16" t="s">
        <v>73</v>
      </c>
      <c r="H353" s="16" t="s">
        <v>34</v>
      </c>
      <c r="I353" s="16" t="s">
        <v>52</v>
      </c>
      <c r="J353" s="16" t="n">
        <v>2</v>
      </c>
      <c r="K353" s="18" t="n">
        <v>0.2</v>
      </c>
      <c r="L353" s="19" t="n">
        <v>31741.92</v>
      </c>
      <c r="M353" s="19" t="n">
        <v>5594.83</v>
      </c>
    </row>
    <row r="354" customFormat="false" ht="15" hidden="false" customHeight="false" outlineLevel="0" collapsed="false">
      <c r="A354" s="16" t="s">
        <v>420</v>
      </c>
      <c r="B354" s="17" t="n">
        <v>45911</v>
      </c>
      <c r="C354" s="17" t="n">
        <v>45917</v>
      </c>
      <c r="D354" s="16" t="s">
        <v>32</v>
      </c>
      <c r="E354" s="16" t="s">
        <v>42</v>
      </c>
      <c r="F354" s="16" t="s">
        <v>55</v>
      </c>
      <c r="G354" s="16" t="s">
        <v>86</v>
      </c>
      <c r="H354" s="16" t="s">
        <v>44</v>
      </c>
      <c r="I354" s="16" t="s">
        <v>80</v>
      </c>
      <c r="J354" s="16" t="n">
        <v>7</v>
      </c>
      <c r="K354" s="18" t="n">
        <v>0.15</v>
      </c>
      <c r="L354" s="19" t="n">
        <v>15334.43</v>
      </c>
      <c r="M354" s="19" t="n">
        <v>2257.44</v>
      </c>
    </row>
    <row r="355" customFormat="false" ht="15" hidden="false" customHeight="false" outlineLevel="0" collapsed="false">
      <c r="A355" s="16" t="s">
        <v>421</v>
      </c>
      <c r="B355" s="17" t="n">
        <v>46009</v>
      </c>
      <c r="C355" s="17" t="n">
        <v>46015</v>
      </c>
      <c r="D355" s="16" t="s">
        <v>25</v>
      </c>
      <c r="E355" s="16" t="s">
        <v>26</v>
      </c>
      <c r="F355" s="16" t="s">
        <v>27</v>
      </c>
      <c r="G355" s="16" t="s">
        <v>33</v>
      </c>
      <c r="H355" s="16" t="s">
        <v>29</v>
      </c>
      <c r="I355" s="16" t="s">
        <v>39</v>
      </c>
      <c r="J355" s="16" t="n">
        <v>2</v>
      </c>
      <c r="K355" s="18" t="n">
        <v>0.4</v>
      </c>
      <c r="L355" s="19" t="n">
        <v>28255.51</v>
      </c>
      <c r="M355" s="19" t="n">
        <v>1819.36</v>
      </c>
    </row>
    <row r="356" customFormat="false" ht="15" hidden="false" customHeight="false" outlineLevel="0" collapsed="false">
      <c r="A356" s="16" t="s">
        <v>422</v>
      </c>
      <c r="B356" s="17" t="n">
        <v>45377</v>
      </c>
      <c r="C356" s="17" t="n">
        <v>45378</v>
      </c>
      <c r="D356" s="16" t="s">
        <v>32</v>
      </c>
      <c r="E356" s="16" t="s">
        <v>42</v>
      </c>
      <c r="F356" s="16" t="s">
        <v>27</v>
      </c>
      <c r="G356" s="16" t="s">
        <v>82</v>
      </c>
      <c r="H356" s="16" t="s">
        <v>44</v>
      </c>
      <c r="I356" s="16" t="s">
        <v>98</v>
      </c>
      <c r="J356" s="16" t="n">
        <v>5</v>
      </c>
      <c r="K356" s="18" t="n">
        <v>0.1</v>
      </c>
      <c r="L356" s="19" t="n">
        <v>10075.59</v>
      </c>
      <c r="M356" s="19" t="n">
        <v>-1725.28</v>
      </c>
    </row>
    <row r="357" customFormat="false" ht="15" hidden="false" customHeight="false" outlineLevel="0" collapsed="false">
      <c r="A357" s="16" t="s">
        <v>423</v>
      </c>
      <c r="B357" s="17" t="n">
        <v>45466</v>
      </c>
      <c r="C357" s="17" t="n">
        <v>45467</v>
      </c>
      <c r="D357" s="16" t="s">
        <v>47</v>
      </c>
      <c r="E357" s="16" t="s">
        <v>48</v>
      </c>
      <c r="F357" s="16" t="s">
        <v>37</v>
      </c>
      <c r="G357" s="16" t="s">
        <v>91</v>
      </c>
      <c r="H357" s="16" t="s">
        <v>29</v>
      </c>
      <c r="I357" s="16" t="s">
        <v>30</v>
      </c>
      <c r="J357" s="16" t="n">
        <v>9</v>
      </c>
      <c r="K357" s="18" t="n">
        <v>0.1</v>
      </c>
      <c r="L357" s="19" t="n">
        <v>99074.61</v>
      </c>
      <c r="M357" s="19" t="n">
        <v>10353.15</v>
      </c>
    </row>
    <row r="358" customFormat="false" ht="15" hidden="false" customHeight="false" outlineLevel="0" collapsed="false">
      <c r="A358" s="16" t="s">
        <v>424</v>
      </c>
      <c r="B358" s="17" t="n">
        <v>45759</v>
      </c>
      <c r="C358" s="17" t="n">
        <v>45765</v>
      </c>
      <c r="D358" s="16" t="s">
        <v>41</v>
      </c>
      <c r="E358" s="16" t="s">
        <v>48</v>
      </c>
      <c r="F358" s="16" t="s">
        <v>37</v>
      </c>
      <c r="G358" s="16" t="s">
        <v>43</v>
      </c>
      <c r="H358" s="16" t="s">
        <v>34</v>
      </c>
      <c r="I358" s="16" t="s">
        <v>61</v>
      </c>
      <c r="J358" s="16" t="n">
        <v>2</v>
      </c>
      <c r="K358" s="18" t="n">
        <v>0.2</v>
      </c>
      <c r="L358" s="19" t="n">
        <v>26717.94</v>
      </c>
      <c r="M358" s="19" t="n">
        <v>-6510.27</v>
      </c>
    </row>
    <row r="359" customFormat="false" ht="15" hidden="false" customHeight="false" outlineLevel="0" collapsed="false">
      <c r="A359" s="16" t="s">
        <v>425</v>
      </c>
      <c r="B359" s="17" t="n">
        <v>45827</v>
      </c>
      <c r="C359" s="17" t="n">
        <v>45834</v>
      </c>
      <c r="D359" s="16" t="s">
        <v>25</v>
      </c>
      <c r="E359" s="16" t="s">
        <v>42</v>
      </c>
      <c r="F359" s="16" t="s">
        <v>37</v>
      </c>
      <c r="G359" s="16" t="s">
        <v>91</v>
      </c>
      <c r="H359" s="16" t="s">
        <v>29</v>
      </c>
      <c r="I359" s="16" t="s">
        <v>30</v>
      </c>
      <c r="J359" s="16" t="n">
        <v>12</v>
      </c>
      <c r="K359" s="18" t="n">
        <v>0</v>
      </c>
      <c r="L359" s="19" t="n">
        <v>278496.4</v>
      </c>
      <c r="M359" s="19" t="n">
        <v>58350.99</v>
      </c>
    </row>
    <row r="360" customFormat="false" ht="15" hidden="false" customHeight="false" outlineLevel="0" collapsed="false">
      <c r="A360" s="16" t="s">
        <v>426</v>
      </c>
      <c r="B360" s="17" t="n">
        <v>45591</v>
      </c>
      <c r="C360" s="17" t="n">
        <v>45596</v>
      </c>
      <c r="D360" s="16" t="s">
        <v>32</v>
      </c>
      <c r="E360" s="16" t="s">
        <v>48</v>
      </c>
      <c r="F360" s="16" t="s">
        <v>37</v>
      </c>
      <c r="G360" s="16" t="s">
        <v>49</v>
      </c>
      <c r="H360" s="16" t="s">
        <v>29</v>
      </c>
      <c r="I360" s="16" t="s">
        <v>78</v>
      </c>
      <c r="J360" s="16" t="n">
        <v>7</v>
      </c>
      <c r="K360" s="18" t="n">
        <v>0.4</v>
      </c>
      <c r="L360" s="19" t="n">
        <v>32539.96</v>
      </c>
      <c r="M360" s="19" t="n">
        <v>-3828.15</v>
      </c>
    </row>
    <row r="361" customFormat="false" ht="15" hidden="false" customHeight="false" outlineLevel="0" collapsed="false">
      <c r="A361" s="16" t="s">
        <v>427</v>
      </c>
      <c r="B361" s="17" t="n">
        <v>45373</v>
      </c>
      <c r="C361" s="17" t="n">
        <v>45377</v>
      </c>
      <c r="D361" s="16" t="s">
        <v>47</v>
      </c>
      <c r="E361" s="16" t="s">
        <v>42</v>
      </c>
      <c r="F361" s="16" t="s">
        <v>37</v>
      </c>
      <c r="G361" s="16" t="s">
        <v>43</v>
      </c>
      <c r="H361" s="16" t="s">
        <v>34</v>
      </c>
      <c r="I361" s="16" t="s">
        <v>52</v>
      </c>
      <c r="J361" s="16" t="n">
        <v>7</v>
      </c>
      <c r="K361" s="18" t="n">
        <v>0</v>
      </c>
      <c r="L361" s="19" t="n">
        <v>66447.54</v>
      </c>
      <c r="M361" s="19" t="n">
        <v>8780.09</v>
      </c>
    </row>
    <row r="362" customFormat="false" ht="15" hidden="false" customHeight="false" outlineLevel="0" collapsed="false">
      <c r="A362" s="16" t="s">
        <v>428</v>
      </c>
      <c r="B362" s="17" t="n">
        <v>45924</v>
      </c>
      <c r="C362" s="17" t="n">
        <v>45928</v>
      </c>
      <c r="D362" s="16" t="s">
        <v>25</v>
      </c>
      <c r="E362" s="16" t="s">
        <v>48</v>
      </c>
      <c r="F362" s="16" t="s">
        <v>55</v>
      </c>
      <c r="G362" s="16" t="s">
        <v>69</v>
      </c>
      <c r="H362" s="16" t="s">
        <v>44</v>
      </c>
      <c r="I362" s="16" t="s">
        <v>63</v>
      </c>
      <c r="J362" s="16" t="n">
        <v>3</v>
      </c>
      <c r="K362" s="18" t="n">
        <v>0</v>
      </c>
      <c r="L362" s="19" t="n">
        <v>4954.25</v>
      </c>
      <c r="M362" s="19" t="n">
        <v>-399.96</v>
      </c>
    </row>
    <row r="363" customFormat="false" ht="15" hidden="false" customHeight="false" outlineLevel="0" collapsed="false">
      <c r="A363" s="16" t="s">
        <v>429</v>
      </c>
      <c r="B363" s="17" t="n">
        <v>45420</v>
      </c>
      <c r="C363" s="17" t="n">
        <v>45426</v>
      </c>
      <c r="D363" s="16" t="s">
        <v>41</v>
      </c>
      <c r="E363" s="16" t="s">
        <v>26</v>
      </c>
      <c r="F363" s="16" t="s">
        <v>59</v>
      </c>
      <c r="G363" s="16" t="s">
        <v>66</v>
      </c>
      <c r="H363" s="16" t="s">
        <v>44</v>
      </c>
      <c r="I363" s="16" t="s">
        <v>63</v>
      </c>
      <c r="J363" s="16" t="n">
        <v>1</v>
      </c>
      <c r="K363" s="18" t="n">
        <v>0.5</v>
      </c>
      <c r="L363" s="19" t="n">
        <v>545.77</v>
      </c>
      <c r="M363" s="19" t="n">
        <v>190.35</v>
      </c>
    </row>
    <row r="364" customFormat="false" ht="15" hidden="false" customHeight="false" outlineLevel="0" collapsed="false">
      <c r="A364" s="16" t="s">
        <v>430</v>
      </c>
      <c r="B364" s="17" t="n">
        <v>45766</v>
      </c>
      <c r="C364" s="17" t="n">
        <v>45772</v>
      </c>
      <c r="D364" s="16" t="s">
        <v>47</v>
      </c>
      <c r="E364" s="16" t="s">
        <v>26</v>
      </c>
      <c r="F364" s="16" t="s">
        <v>59</v>
      </c>
      <c r="G364" s="16" t="s">
        <v>66</v>
      </c>
      <c r="H364" s="16" t="s">
        <v>29</v>
      </c>
      <c r="I364" s="16" t="s">
        <v>30</v>
      </c>
      <c r="J364" s="16" t="n">
        <v>7</v>
      </c>
      <c r="K364" s="18" t="n">
        <v>0.2</v>
      </c>
      <c r="L364" s="19" t="n">
        <v>20394.35</v>
      </c>
      <c r="M364" s="19" t="n">
        <v>4901.79</v>
      </c>
    </row>
    <row r="365" customFormat="false" ht="15" hidden="false" customHeight="false" outlineLevel="0" collapsed="false">
      <c r="A365" s="16" t="s">
        <v>431</v>
      </c>
      <c r="B365" s="17" t="n">
        <v>45304</v>
      </c>
      <c r="C365" s="17" t="n">
        <v>45305</v>
      </c>
      <c r="D365" s="16" t="s">
        <v>25</v>
      </c>
      <c r="E365" s="16" t="s">
        <v>26</v>
      </c>
      <c r="F365" s="16" t="s">
        <v>55</v>
      </c>
      <c r="G365" s="16" t="s">
        <v>56</v>
      </c>
      <c r="H365" s="16" t="s">
        <v>34</v>
      </c>
      <c r="I365" s="16" t="s">
        <v>52</v>
      </c>
      <c r="J365" s="16" t="n">
        <v>4</v>
      </c>
      <c r="K365" s="18" t="n">
        <v>0.15</v>
      </c>
      <c r="L365" s="19" t="n">
        <v>108754.57</v>
      </c>
      <c r="M365" s="19" t="n">
        <v>3664.52</v>
      </c>
    </row>
    <row r="366" customFormat="false" ht="15" hidden="false" customHeight="false" outlineLevel="0" collapsed="false">
      <c r="A366" s="16" t="s">
        <v>432</v>
      </c>
      <c r="B366" s="17" t="n">
        <v>45989</v>
      </c>
      <c r="C366" s="17" t="n">
        <v>45992</v>
      </c>
      <c r="D366" s="16" t="s">
        <v>32</v>
      </c>
      <c r="E366" s="16" t="s">
        <v>48</v>
      </c>
      <c r="F366" s="16" t="s">
        <v>59</v>
      </c>
      <c r="G366" s="16" t="s">
        <v>75</v>
      </c>
      <c r="H366" s="16" t="s">
        <v>44</v>
      </c>
      <c r="I366" s="16" t="s">
        <v>67</v>
      </c>
      <c r="J366" s="16" t="n">
        <v>11</v>
      </c>
      <c r="K366" s="18" t="n">
        <v>0.15</v>
      </c>
      <c r="L366" s="19" t="n">
        <v>10707.97</v>
      </c>
      <c r="M366" s="19" t="n">
        <v>3576.08</v>
      </c>
    </row>
    <row r="367" customFormat="false" ht="15" hidden="false" customHeight="false" outlineLevel="0" collapsed="false">
      <c r="A367" s="16" t="s">
        <v>433</v>
      </c>
      <c r="B367" s="17" t="n">
        <v>45533</v>
      </c>
      <c r="C367" s="17" t="n">
        <v>45539</v>
      </c>
      <c r="D367" s="16" t="s">
        <v>25</v>
      </c>
      <c r="E367" s="16" t="s">
        <v>48</v>
      </c>
      <c r="F367" s="16" t="s">
        <v>59</v>
      </c>
      <c r="G367" s="16" t="s">
        <v>66</v>
      </c>
      <c r="H367" s="16" t="s">
        <v>44</v>
      </c>
      <c r="I367" s="16" t="s">
        <v>80</v>
      </c>
      <c r="J367" s="16" t="n">
        <v>7</v>
      </c>
      <c r="K367" s="18" t="n">
        <v>0.5</v>
      </c>
      <c r="L367" s="19" t="n">
        <v>440.64</v>
      </c>
      <c r="M367" s="19" t="n">
        <v>71.84</v>
      </c>
    </row>
    <row r="368" customFormat="false" ht="15" hidden="false" customHeight="false" outlineLevel="0" collapsed="false">
      <c r="A368" s="16" t="s">
        <v>434</v>
      </c>
      <c r="B368" s="17" t="n">
        <v>45450</v>
      </c>
      <c r="C368" s="17" t="n">
        <v>45453</v>
      </c>
      <c r="D368" s="16" t="s">
        <v>47</v>
      </c>
      <c r="E368" s="16" t="s">
        <v>26</v>
      </c>
      <c r="F368" s="16" t="s">
        <v>27</v>
      </c>
      <c r="G368" s="16" t="s">
        <v>33</v>
      </c>
      <c r="H368" s="16" t="s">
        <v>29</v>
      </c>
      <c r="I368" s="16" t="s">
        <v>39</v>
      </c>
      <c r="J368" s="16" t="n">
        <v>11</v>
      </c>
      <c r="K368" s="18" t="n">
        <v>0</v>
      </c>
      <c r="L368" s="19" t="n">
        <v>37193.24</v>
      </c>
      <c r="M368" s="19" t="n">
        <v>-6490.35</v>
      </c>
    </row>
    <row r="369" customFormat="false" ht="15" hidden="false" customHeight="false" outlineLevel="0" collapsed="false">
      <c r="A369" s="16" t="s">
        <v>435</v>
      </c>
      <c r="B369" s="17" t="n">
        <v>45530</v>
      </c>
      <c r="C369" s="17" t="n">
        <v>45533</v>
      </c>
      <c r="D369" s="16" t="s">
        <v>32</v>
      </c>
      <c r="E369" s="16" t="s">
        <v>26</v>
      </c>
      <c r="F369" s="16" t="s">
        <v>55</v>
      </c>
      <c r="G369" s="16" t="s">
        <v>69</v>
      </c>
      <c r="H369" s="16" t="s">
        <v>34</v>
      </c>
      <c r="I369" s="16" t="s">
        <v>57</v>
      </c>
      <c r="J369" s="16" t="n">
        <v>6</v>
      </c>
      <c r="K369" s="18" t="n">
        <v>0.5</v>
      </c>
      <c r="L369" s="19" t="n">
        <v>11430.24</v>
      </c>
      <c r="M369" s="19" t="n">
        <v>976.31</v>
      </c>
    </row>
    <row r="370" customFormat="false" ht="15" hidden="false" customHeight="false" outlineLevel="0" collapsed="false">
      <c r="A370" s="16" t="s">
        <v>436</v>
      </c>
      <c r="B370" s="17" t="n">
        <v>45847</v>
      </c>
      <c r="C370" s="17" t="n">
        <v>45853</v>
      </c>
      <c r="D370" s="16" t="s">
        <v>32</v>
      </c>
      <c r="E370" s="16" t="s">
        <v>48</v>
      </c>
      <c r="F370" s="16" t="s">
        <v>27</v>
      </c>
      <c r="G370" s="16" t="s">
        <v>73</v>
      </c>
      <c r="H370" s="16" t="s">
        <v>44</v>
      </c>
      <c r="I370" s="16" t="s">
        <v>67</v>
      </c>
      <c r="J370" s="16" t="n">
        <v>5</v>
      </c>
      <c r="K370" s="18" t="n">
        <v>0.1</v>
      </c>
      <c r="L370" s="19" t="n">
        <v>8262.77</v>
      </c>
      <c r="M370" s="19" t="n">
        <v>-1724.23</v>
      </c>
    </row>
    <row r="371" customFormat="false" ht="15" hidden="false" customHeight="false" outlineLevel="0" collapsed="false">
      <c r="A371" s="16" t="s">
        <v>437</v>
      </c>
      <c r="B371" s="17" t="n">
        <v>45450</v>
      </c>
      <c r="C371" s="17" t="n">
        <v>45454</v>
      </c>
      <c r="D371" s="16" t="s">
        <v>32</v>
      </c>
      <c r="E371" s="16" t="s">
        <v>26</v>
      </c>
      <c r="F371" s="16" t="s">
        <v>37</v>
      </c>
      <c r="G371" s="16" t="s">
        <v>91</v>
      </c>
      <c r="H371" s="16" t="s">
        <v>44</v>
      </c>
      <c r="I371" s="16" t="s">
        <v>80</v>
      </c>
      <c r="J371" s="16" t="n">
        <v>12</v>
      </c>
      <c r="K371" s="18" t="n">
        <v>0.15</v>
      </c>
      <c r="L371" s="19" t="n">
        <v>1573.73</v>
      </c>
      <c r="M371" s="19" t="n">
        <v>-90.62</v>
      </c>
    </row>
    <row r="372" customFormat="false" ht="15" hidden="false" customHeight="false" outlineLevel="0" collapsed="false">
      <c r="A372" s="16" t="s">
        <v>438</v>
      </c>
      <c r="B372" s="17" t="n">
        <v>45356</v>
      </c>
      <c r="C372" s="17" t="n">
        <v>45362</v>
      </c>
      <c r="D372" s="16" t="s">
        <v>41</v>
      </c>
      <c r="E372" s="16" t="s">
        <v>42</v>
      </c>
      <c r="F372" s="16" t="s">
        <v>27</v>
      </c>
      <c r="G372" s="16" t="s">
        <v>33</v>
      </c>
      <c r="H372" s="16" t="s">
        <v>34</v>
      </c>
      <c r="I372" s="16" t="s">
        <v>61</v>
      </c>
      <c r="J372" s="16" t="n">
        <v>10</v>
      </c>
      <c r="K372" s="18" t="n">
        <v>0</v>
      </c>
      <c r="L372" s="19" t="n">
        <v>203384.07</v>
      </c>
      <c r="M372" s="19" t="n">
        <v>13000.38</v>
      </c>
    </row>
    <row r="373" customFormat="false" ht="15" hidden="false" customHeight="false" outlineLevel="0" collapsed="false">
      <c r="A373" s="16" t="s">
        <v>439</v>
      </c>
      <c r="B373" s="17" t="n">
        <v>45360</v>
      </c>
      <c r="C373" s="17" t="n">
        <v>45361</v>
      </c>
      <c r="D373" s="16" t="s">
        <v>32</v>
      </c>
      <c r="E373" s="16" t="s">
        <v>26</v>
      </c>
      <c r="F373" s="16" t="s">
        <v>59</v>
      </c>
      <c r="G373" s="16" t="s">
        <v>66</v>
      </c>
      <c r="H373" s="16" t="s">
        <v>29</v>
      </c>
      <c r="I373" s="16" t="s">
        <v>39</v>
      </c>
      <c r="J373" s="16" t="n">
        <v>4</v>
      </c>
      <c r="K373" s="18" t="n">
        <v>0.5</v>
      </c>
      <c r="L373" s="19" t="n">
        <v>8542.66</v>
      </c>
      <c r="M373" s="19" t="n">
        <v>559.48</v>
      </c>
    </row>
    <row r="374" customFormat="false" ht="15" hidden="false" customHeight="false" outlineLevel="0" collapsed="false">
      <c r="A374" s="16" t="s">
        <v>440</v>
      </c>
      <c r="B374" s="17" t="n">
        <v>46010</v>
      </c>
      <c r="C374" s="17" t="n">
        <v>46015</v>
      </c>
      <c r="D374" s="16" t="s">
        <v>25</v>
      </c>
      <c r="E374" s="16" t="s">
        <v>42</v>
      </c>
      <c r="F374" s="16" t="s">
        <v>37</v>
      </c>
      <c r="G374" s="16" t="s">
        <v>49</v>
      </c>
      <c r="H374" s="16" t="s">
        <v>44</v>
      </c>
      <c r="I374" s="16" t="s">
        <v>45</v>
      </c>
      <c r="J374" s="16" t="n">
        <v>1</v>
      </c>
      <c r="K374" s="18" t="n">
        <v>0</v>
      </c>
      <c r="L374" s="19" t="n">
        <v>705.34</v>
      </c>
      <c r="M374" s="19" t="n">
        <v>21.75</v>
      </c>
    </row>
    <row r="375" customFormat="false" ht="15" hidden="false" customHeight="false" outlineLevel="0" collapsed="false">
      <c r="A375" s="16" t="s">
        <v>441</v>
      </c>
      <c r="B375" s="17" t="n">
        <v>45946</v>
      </c>
      <c r="C375" s="17" t="n">
        <v>45947</v>
      </c>
      <c r="D375" s="16" t="s">
        <v>25</v>
      </c>
      <c r="E375" s="16" t="s">
        <v>42</v>
      </c>
      <c r="F375" s="16" t="s">
        <v>55</v>
      </c>
      <c r="G375" s="16" t="s">
        <v>86</v>
      </c>
      <c r="H375" s="16" t="s">
        <v>44</v>
      </c>
      <c r="I375" s="16" t="s">
        <v>98</v>
      </c>
      <c r="J375" s="16" t="n">
        <v>10</v>
      </c>
      <c r="K375" s="18" t="n">
        <v>0.2</v>
      </c>
      <c r="L375" s="19" t="n">
        <v>1743.15</v>
      </c>
      <c r="M375" s="19" t="n">
        <v>-354.28</v>
      </c>
    </row>
    <row r="376" customFormat="false" ht="15" hidden="false" customHeight="false" outlineLevel="0" collapsed="false">
      <c r="A376" s="16" t="s">
        <v>442</v>
      </c>
      <c r="B376" s="17" t="n">
        <v>45513</v>
      </c>
      <c r="C376" s="17" t="n">
        <v>45518</v>
      </c>
      <c r="D376" s="16" t="s">
        <v>41</v>
      </c>
      <c r="E376" s="16" t="s">
        <v>26</v>
      </c>
      <c r="F376" s="16" t="s">
        <v>27</v>
      </c>
      <c r="G376" s="16" t="s">
        <v>33</v>
      </c>
      <c r="H376" s="16" t="s">
        <v>29</v>
      </c>
      <c r="I376" s="16" t="s">
        <v>78</v>
      </c>
      <c r="J376" s="16" t="n">
        <v>9</v>
      </c>
      <c r="K376" s="18" t="n">
        <v>0.4</v>
      </c>
      <c r="L376" s="19" t="n">
        <v>92384.06</v>
      </c>
      <c r="M376" s="19" t="n">
        <v>18261.1</v>
      </c>
    </row>
    <row r="377" customFormat="false" ht="15" hidden="false" customHeight="false" outlineLevel="0" collapsed="false">
      <c r="A377" s="16" t="s">
        <v>443</v>
      </c>
      <c r="B377" s="17" t="n">
        <v>45945</v>
      </c>
      <c r="C377" s="17" t="n">
        <v>45950</v>
      </c>
      <c r="D377" s="16" t="s">
        <v>41</v>
      </c>
      <c r="E377" s="16" t="s">
        <v>26</v>
      </c>
      <c r="F377" s="16" t="s">
        <v>55</v>
      </c>
      <c r="G377" s="16" t="s">
        <v>56</v>
      </c>
      <c r="H377" s="16" t="s">
        <v>44</v>
      </c>
      <c r="I377" s="16" t="s">
        <v>63</v>
      </c>
      <c r="J377" s="16" t="n">
        <v>3</v>
      </c>
      <c r="K377" s="18" t="n">
        <v>0.5</v>
      </c>
      <c r="L377" s="19" t="n">
        <v>2345.41</v>
      </c>
      <c r="M377" s="19" t="n">
        <v>727.34</v>
      </c>
    </row>
    <row r="378" customFormat="false" ht="15" hidden="false" customHeight="false" outlineLevel="0" collapsed="false">
      <c r="A378" s="16" t="s">
        <v>444</v>
      </c>
      <c r="B378" s="17" t="n">
        <v>45614</v>
      </c>
      <c r="C378" s="17" t="n">
        <v>45619</v>
      </c>
      <c r="D378" s="16" t="s">
        <v>47</v>
      </c>
      <c r="E378" s="16" t="s">
        <v>42</v>
      </c>
      <c r="F378" s="16" t="s">
        <v>55</v>
      </c>
      <c r="G378" s="16" t="s">
        <v>56</v>
      </c>
      <c r="H378" s="16" t="s">
        <v>44</v>
      </c>
      <c r="I378" s="16" t="s">
        <v>80</v>
      </c>
      <c r="J378" s="16" t="n">
        <v>10</v>
      </c>
      <c r="K378" s="18" t="n">
        <v>0.2</v>
      </c>
      <c r="L378" s="19" t="n">
        <v>13458.53</v>
      </c>
      <c r="M378" s="19" t="n">
        <v>-457.52</v>
      </c>
    </row>
    <row r="379" customFormat="false" ht="15" hidden="false" customHeight="false" outlineLevel="0" collapsed="false">
      <c r="A379" s="16" t="s">
        <v>445</v>
      </c>
      <c r="B379" s="17" t="n">
        <v>45755</v>
      </c>
      <c r="C379" s="17" t="n">
        <v>45759</v>
      </c>
      <c r="D379" s="16" t="s">
        <v>25</v>
      </c>
      <c r="E379" s="16" t="s">
        <v>42</v>
      </c>
      <c r="F379" s="16" t="s">
        <v>59</v>
      </c>
      <c r="G379" s="16" t="s">
        <v>71</v>
      </c>
      <c r="H379" s="16" t="s">
        <v>44</v>
      </c>
      <c r="I379" s="16" t="s">
        <v>45</v>
      </c>
      <c r="J379" s="16" t="n">
        <v>9</v>
      </c>
      <c r="K379" s="18" t="n">
        <v>0.15</v>
      </c>
      <c r="L379" s="19" t="n">
        <v>20516.85</v>
      </c>
      <c r="M379" s="19" t="n">
        <v>-2484.72</v>
      </c>
    </row>
    <row r="380" customFormat="false" ht="15" hidden="false" customHeight="false" outlineLevel="0" collapsed="false">
      <c r="A380" s="16" t="s">
        <v>446</v>
      </c>
      <c r="B380" s="17" t="n">
        <v>45614</v>
      </c>
      <c r="C380" s="17" t="n">
        <v>45615</v>
      </c>
      <c r="D380" s="16" t="s">
        <v>32</v>
      </c>
      <c r="E380" s="16" t="s">
        <v>26</v>
      </c>
      <c r="F380" s="16" t="s">
        <v>27</v>
      </c>
      <c r="G380" s="16" t="s">
        <v>82</v>
      </c>
      <c r="H380" s="16" t="s">
        <v>34</v>
      </c>
      <c r="I380" s="16" t="s">
        <v>57</v>
      </c>
      <c r="J380" s="16" t="n">
        <v>6</v>
      </c>
      <c r="K380" s="18" t="n">
        <v>0.15</v>
      </c>
      <c r="L380" s="19" t="n">
        <v>273069.72</v>
      </c>
      <c r="M380" s="19" t="n">
        <v>-30093.24</v>
      </c>
    </row>
    <row r="381" customFormat="false" ht="15" hidden="false" customHeight="false" outlineLevel="0" collapsed="false">
      <c r="A381" s="16" t="s">
        <v>447</v>
      </c>
      <c r="B381" s="17" t="n">
        <v>45599</v>
      </c>
      <c r="C381" s="17" t="n">
        <v>45600</v>
      </c>
      <c r="D381" s="16" t="s">
        <v>47</v>
      </c>
      <c r="E381" s="16" t="s">
        <v>42</v>
      </c>
      <c r="F381" s="16" t="s">
        <v>27</v>
      </c>
      <c r="G381" s="16" t="s">
        <v>82</v>
      </c>
      <c r="H381" s="16" t="s">
        <v>34</v>
      </c>
      <c r="I381" s="16" t="s">
        <v>61</v>
      </c>
      <c r="J381" s="16" t="n">
        <v>8</v>
      </c>
      <c r="K381" s="18" t="n">
        <v>0</v>
      </c>
      <c r="L381" s="19" t="n">
        <v>334730.51</v>
      </c>
      <c r="M381" s="19" t="n">
        <v>35862.6</v>
      </c>
    </row>
    <row r="382" customFormat="false" ht="15" hidden="false" customHeight="false" outlineLevel="0" collapsed="false">
      <c r="A382" s="16" t="s">
        <v>448</v>
      </c>
      <c r="B382" s="17" t="n">
        <v>45599</v>
      </c>
      <c r="C382" s="17" t="n">
        <v>45600</v>
      </c>
      <c r="D382" s="16" t="s">
        <v>47</v>
      </c>
      <c r="E382" s="16" t="s">
        <v>48</v>
      </c>
      <c r="F382" s="16" t="s">
        <v>59</v>
      </c>
      <c r="G382" s="16" t="s">
        <v>75</v>
      </c>
      <c r="H382" s="16" t="s">
        <v>34</v>
      </c>
      <c r="I382" s="16" t="s">
        <v>61</v>
      </c>
      <c r="J382" s="16" t="n">
        <v>7</v>
      </c>
      <c r="K382" s="18" t="n">
        <v>0.15</v>
      </c>
      <c r="L382" s="19" t="n">
        <v>311675.94</v>
      </c>
      <c r="M382" s="19" t="n">
        <v>61901.08</v>
      </c>
    </row>
    <row r="383" customFormat="false" ht="15" hidden="false" customHeight="false" outlineLevel="0" collapsed="false">
      <c r="A383" s="16" t="s">
        <v>449</v>
      </c>
      <c r="B383" s="17" t="n">
        <v>45908</v>
      </c>
      <c r="C383" s="17" t="n">
        <v>45909</v>
      </c>
      <c r="D383" s="16" t="s">
        <v>25</v>
      </c>
      <c r="E383" s="16" t="s">
        <v>42</v>
      </c>
      <c r="F383" s="16" t="s">
        <v>59</v>
      </c>
      <c r="G383" s="16" t="s">
        <v>71</v>
      </c>
      <c r="H383" s="16" t="s">
        <v>34</v>
      </c>
      <c r="I383" s="16" t="s">
        <v>61</v>
      </c>
      <c r="J383" s="16" t="n">
        <v>6</v>
      </c>
      <c r="K383" s="18" t="n">
        <v>0.15</v>
      </c>
      <c r="L383" s="19" t="n">
        <v>157541.52</v>
      </c>
      <c r="M383" s="19" t="n">
        <v>-24904.4</v>
      </c>
    </row>
    <row r="384" customFormat="false" ht="15" hidden="false" customHeight="false" outlineLevel="0" collapsed="false">
      <c r="A384" s="16" t="s">
        <v>450</v>
      </c>
      <c r="B384" s="17" t="n">
        <v>45981</v>
      </c>
      <c r="C384" s="17" t="n">
        <v>45987</v>
      </c>
      <c r="D384" s="16" t="s">
        <v>47</v>
      </c>
      <c r="E384" s="16" t="s">
        <v>48</v>
      </c>
      <c r="F384" s="16" t="s">
        <v>59</v>
      </c>
      <c r="G384" s="16" t="s">
        <v>66</v>
      </c>
      <c r="H384" s="16" t="s">
        <v>44</v>
      </c>
      <c r="I384" s="16" t="s">
        <v>50</v>
      </c>
      <c r="J384" s="16" t="n">
        <v>7</v>
      </c>
      <c r="K384" s="18" t="n">
        <v>0</v>
      </c>
      <c r="L384" s="19" t="n">
        <v>7524.21</v>
      </c>
      <c r="M384" s="19" t="n">
        <v>593.6</v>
      </c>
    </row>
    <row r="385" customFormat="false" ht="15" hidden="false" customHeight="false" outlineLevel="0" collapsed="false">
      <c r="A385" s="16" t="s">
        <v>451</v>
      </c>
      <c r="B385" s="17" t="n">
        <v>45560</v>
      </c>
      <c r="C385" s="17" t="n">
        <v>45561</v>
      </c>
      <c r="D385" s="16" t="s">
        <v>32</v>
      </c>
      <c r="E385" s="16" t="s">
        <v>26</v>
      </c>
      <c r="F385" s="16" t="s">
        <v>55</v>
      </c>
      <c r="G385" s="16" t="s">
        <v>69</v>
      </c>
      <c r="H385" s="16" t="s">
        <v>44</v>
      </c>
      <c r="I385" s="16" t="s">
        <v>98</v>
      </c>
      <c r="J385" s="16" t="n">
        <v>9</v>
      </c>
      <c r="K385" s="18" t="n">
        <v>0.15</v>
      </c>
      <c r="L385" s="19" t="n">
        <v>9535.15</v>
      </c>
      <c r="M385" s="19" t="n">
        <v>-997.48</v>
      </c>
    </row>
    <row r="386" customFormat="false" ht="15" hidden="false" customHeight="false" outlineLevel="0" collapsed="false">
      <c r="A386" s="16" t="s">
        <v>452</v>
      </c>
      <c r="B386" s="17" t="n">
        <v>45564</v>
      </c>
      <c r="C386" s="17" t="n">
        <v>45571</v>
      </c>
      <c r="D386" s="16" t="s">
        <v>32</v>
      </c>
      <c r="E386" s="16" t="s">
        <v>42</v>
      </c>
      <c r="F386" s="16" t="s">
        <v>59</v>
      </c>
      <c r="G386" s="16" t="s">
        <v>75</v>
      </c>
      <c r="H386" s="16" t="s">
        <v>44</v>
      </c>
      <c r="I386" s="16" t="s">
        <v>80</v>
      </c>
      <c r="J386" s="16" t="n">
        <v>7</v>
      </c>
      <c r="K386" s="18" t="n">
        <v>0</v>
      </c>
      <c r="L386" s="19" t="n">
        <v>4566.94</v>
      </c>
      <c r="M386" s="19" t="n">
        <v>967.32</v>
      </c>
    </row>
    <row r="387" customFormat="false" ht="15" hidden="false" customHeight="false" outlineLevel="0" collapsed="false">
      <c r="A387" s="16" t="s">
        <v>453</v>
      </c>
      <c r="B387" s="17" t="n">
        <v>45465</v>
      </c>
      <c r="C387" s="17" t="n">
        <v>45468</v>
      </c>
      <c r="D387" s="16" t="s">
        <v>41</v>
      </c>
      <c r="E387" s="16" t="s">
        <v>26</v>
      </c>
      <c r="F387" s="16" t="s">
        <v>27</v>
      </c>
      <c r="G387" s="16" t="s">
        <v>33</v>
      </c>
      <c r="H387" s="16" t="s">
        <v>34</v>
      </c>
      <c r="I387" s="16" t="s">
        <v>61</v>
      </c>
      <c r="J387" s="16" t="n">
        <v>4</v>
      </c>
      <c r="K387" s="18" t="n">
        <v>0</v>
      </c>
      <c r="L387" s="19" t="n">
        <v>176465.9</v>
      </c>
      <c r="M387" s="19" t="n">
        <v>-32218.61</v>
      </c>
    </row>
    <row r="388" customFormat="false" ht="15" hidden="false" customHeight="false" outlineLevel="0" collapsed="false">
      <c r="A388" s="16" t="s">
        <v>454</v>
      </c>
      <c r="B388" s="17" t="n">
        <v>45347</v>
      </c>
      <c r="C388" s="17" t="n">
        <v>45349</v>
      </c>
      <c r="D388" s="16" t="s">
        <v>25</v>
      </c>
      <c r="E388" s="16" t="s">
        <v>48</v>
      </c>
      <c r="F388" s="16" t="s">
        <v>37</v>
      </c>
      <c r="G388" s="16" t="s">
        <v>38</v>
      </c>
      <c r="H388" s="16" t="s">
        <v>34</v>
      </c>
      <c r="I388" s="16" t="s">
        <v>52</v>
      </c>
      <c r="J388" s="16" t="n">
        <v>5</v>
      </c>
      <c r="K388" s="18" t="n">
        <v>0.15</v>
      </c>
      <c r="L388" s="19" t="n">
        <v>58340</v>
      </c>
      <c r="M388" s="19" t="n">
        <v>-7451.14</v>
      </c>
    </row>
    <row r="389" customFormat="false" ht="15" hidden="false" customHeight="false" outlineLevel="0" collapsed="false">
      <c r="A389" s="16" t="s">
        <v>455</v>
      </c>
      <c r="B389" s="17" t="n">
        <v>45827</v>
      </c>
      <c r="C389" s="17" t="n">
        <v>45834</v>
      </c>
      <c r="D389" s="16" t="s">
        <v>25</v>
      </c>
      <c r="E389" s="16" t="s">
        <v>42</v>
      </c>
      <c r="F389" s="16" t="s">
        <v>55</v>
      </c>
      <c r="G389" s="16" t="s">
        <v>69</v>
      </c>
      <c r="H389" s="16" t="s">
        <v>44</v>
      </c>
      <c r="I389" s="16" t="s">
        <v>98</v>
      </c>
      <c r="J389" s="16" t="n">
        <v>7</v>
      </c>
      <c r="K389" s="18" t="n">
        <v>0.1</v>
      </c>
      <c r="L389" s="19" t="n">
        <v>12752.66</v>
      </c>
      <c r="M389" s="19" t="n">
        <v>-2728.23</v>
      </c>
    </row>
    <row r="390" customFormat="false" ht="15" hidden="false" customHeight="false" outlineLevel="0" collapsed="false">
      <c r="A390" s="16" t="s">
        <v>456</v>
      </c>
      <c r="B390" s="17" t="n">
        <v>45497</v>
      </c>
      <c r="C390" s="17" t="n">
        <v>45504</v>
      </c>
      <c r="D390" s="16" t="s">
        <v>25</v>
      </c>
      <c r="E390" s="16" t="s">
        <v>42</v>
      </c>
      <c r="F390" s="16" t="s">
        <v>59</v>
      </c>
      <c r="G390" s="16" t="s">
        <v>60</v>
      </c>
      <c r="H390" s="16" t="s">
        <v>34</v>
      </c>
      <c r="I390" s="16" t="s">
        <v>57</v>
      </c>
      <c r="J390" s="16" t="n">
        <v>2</v>
      </c>
      <c r="K390" s="18" t="n">
        <v>0.3</v>
      </c>
      <c r="L390" s="19" t="n">
        <v>71885.59</v>
      </c>
      <c r="M390" s="19" t="n">
        <v>19306.27</v>
      </c>
    </row>
    <row r="391" customFormat="false" ht="15" hidden="false" customHeight="false" outlineLevel="0" collapsed="false">
      <c r="A391" s="16" t="s">
        <v>457</v>
      </c>
      <c r="B391" s="17" t="n">
        <v>45311</v>
      </c>
      <c r="C391" s="17" t="n">
        <v>45314</v>
      </c>
      <c r="D391" s="16" t="s">
        <v>25</v>
      </c>
      <c r="E391" s="16" t="s">
        <v>42</v>
      </c>
      <c r="F391" s="16" t="s">
        <v>27</v>
      </c>
      <c r="G391" s="16" t="s">
        <v>33</v>
      </c>
      <c r="H391" s="16" t="s">
        <v>34</v>
      </c>
      <c r="I391" s="16" t="s">
        <v>61</v>
      </c>
      <c r="J391" s="16" t="n">
        <v>6</v>
      </c>
      <c r="K391" s="18" t="n">
        <v>0.15</v>
      </c>
      <c r="L391" s="19" t="n">
        <v>33910.97</v>
      </c>
      <c r="M391" s="19" t="n">
        <v>1708.79</v>
      </c>
    </row>
    <row r="392" customFormat="false" ht="15" hidden="false" customHeight="false" outlineLevel="0" collapsed="false">
      <c r="A392" s="16" t="s">
        <v>458</v>
      </c>
      <c r="B392" s="17" t="n">
        <v>45760</v>
      </c>
      <c r="C392" s="17" t="n">
        <v>45765</v>
      </c>
      <c r="D392" s="16" t="s">
        <v>47</v>
      </c>
      <c r="E392" s="16" t="s">
        <v>42</v>
      </c>
      <c r="F392" s="16" t="s">
        <v>59</v>
      </c>
      <c r="G392" s="16" t="s">
        <v>66</v>
      </c>
      <c r="H392" s="16" t="s">
        <v>34</v>
      </c>
      <c r="I392" s="16" t="s">
        <v>35</v>
      </c>
      <c r="J392" s="16" t="n">
        <v>6</v>
      </c>
      <c r="K392" s="18" t="n">
        <v>0.3</v>
      </c>
      <c r="L392" s="19" t="n">
        <v>10814.06</v>
      </c>
      <c r="M392" s="19" t="n">
        <v>-397.67</v>
      </c>
    </row>
    <row r="393" customFormat="false" ht="15" hidden="false" customHeight="false" outlineLevel="0" collapsed="false">
      <c r="A393" s="16" t="s">
        <v>459</v>
      </c>
      <c r="B393" s="17" t="n">
        <v>45601</v>
      </c>
      <c r="C393" s="17" t="n">
        <v>45603</v>
      </c>
      <c r="D393" s="16" t="s">
        <v>25</v>
      </c>
      <c r="E393" s="16" t="s">
        <v>48</v>
      </c>
      <c r="F393" s="16" t="s">
        <v>59</v>
      </c>
      <c r="G393" s="16" t="s">
        <v>71</v>
      </c>
      <c r="H393" s="16" t="s">
        <v>34</v>
      </c>
      <c r="I393" s="16" t="s">
        <v>57</v>
      </c>
      <c r="J393" s="16" t="n">
        <v>9</v>
      </c>
      <c r="K393" s="18" t="n">
        <v>0.4</v>
      </c>
      <c r="L393" s="19" t="n">
        <v>116070.25</v>
      </c>
      <c r="M393" s="19" t="n">
        <v>16732.58</v>
      </c>
    </row>
    <row r="394" customFormat="false" ht="15" hidden="false" customHeight="false" outlineLevel="0" collapsed="false">
      <c r="A394" s="16" t="s">
        <v>460</v>
      </c>
      <c r="B394" s="17" t="n">
        <v>45381</v>
      </c>
      <c r="C394" s="17" t="n">
        <v>45387</v>
      </c>
      <c r="D394" s="16" t="s">
        <v>41</v>
      </c>
      <c r="E394" s="16" t="s">
        <v>26</v>
      </c>
      <c r="F394" s="16" t="s">
        <v>27</v>
      </c>
      <c r="G394" s="16" t="s">
        <v>33</v>
      </c>
      <c r="H394" s="16" t="s">
        <v>44</v>
      </c>
      <c r="I394" s="16" t="s">
        <v>98</v>
      </c>
      <c r="J394" s="16" t="n">
        <v>7</v>
      </c>
      <c r="K394" s="18" t="n">
        <v>0.1</v>
      </c>
      <c r="L394" s="19" t="n">
        <v>17250.87</v>
      </c>
      <c r="M394" s="19" t="n">
        <v>-2172.67</v>
      </c>
    </row>
    <row r="395" customFormat="false" ht="15" hidden="false" customHeight="false" outlineLevel="0" collapsed="false">
      <c r="A395" s="16" t="s">
        <v>461</v>
      </c>
      <c r="B395" s="17" t="n">
        <v>45433</v>
      </c>
      <c r="C395" s="17" t="n">
        <v>45438</v>
      </c>
      <c r="D395" s="16" t="s">
        <v>41</v>
      </c>
      <c r="E395" s="16" t="s">
        <v>42</v>
      </c>
      <c r="F395" s="16" t="s">
        <v>27</v>
      </c>
      <c r="G395" s="16" t="s">
        <v>73</v>
      </c>
      <c r="H395" s="16" t="s">
        <v>34</v>
      </c>
      <c r="I395" s="16" t="s">
        <v>52</v>
      </c>
      <c r="J395" s="16" t="n">
        <v>7</v>
      </c>
      <c r="K395" s="18" t="n">
        <v>0.1</v>
      </c>
      <c r="L395" s="19" t="n">
        <v>62945.92</v>
      </c>
      <c r="M395" s="19" t="n">
        <v>-3745.43</v>
      </c>
    </row>
    <row r="396" customFormat="false" ht="15" hidden="false" customHeight="false" outlineLevel="0" collapsed="false">
      <c r="A396" s="16" t="s">
        <v>462</v>
      </c>
      <c r="B396" s="17" t="n">
        <v>45862</v>
      </c>
      <c r="C396" s="17" t="n">
        <v>45867</v>
      </c>
      <c r="D396" s="16" t="s">
        <v>25</v>
      </c>
      <c r="E396" s="16" t="s">
        <v>26</v>
      </c>
      <c r="F396" s="16" t="s">
        <v>27</v>
      </c>
      <c r="G396" s="16" t="s">
        <v>73</v>
      </c>
      <c r="H396" s="16" t="s">
        <v>34</v>
      </c>
      <c r="I396" s="16" t="s">
        <v>35</v>
      </c>
      <c r="J396" s="16" t="n">
        <v>6</v>
      </c>
      <c r="K396" s="18" t="n">
        <v>0.5</v>
      </c>
      <c r="L396" s="19" t="n">
        <v>76674.68</v>
      </c>
      <c r="M396" s="19" t="n">
        <v>15132.96</v>
      </c>
    </row>
    <row r="397" customFormat="false" ht="15" hidden="false" customHeight="false" outlineLevel="0" collapsed="false">
      <c r="A397" s="16" t="s">
        <v>463</v>
      </c>
      <c r="B397" s="17" t="n">
        <v>45944</v>
      </c>
      <c r="C397" s="17" t="n">
        <v>45950</v>
      </c>
      <c r="D397" s="16" t="s">
        <v>41</v>
      </c>
      <c r="E397" s="16" t="s">
        <v>26</v>
      </c>
      <c r="F397" s="16" t="s">
        <v>27</v>
      </c>
      <c r="G397" s="16" t="s">
        <v>82</v>
      </c>
      <c r="H397" s="16" t="s">
        <v>44</v>
      </c>
      <c r="I397" s="16" t="s">
        <v>67</v>
      </c>
      <c r="J397" s="16" t="n">
        <v>1</v>
      </c>
      <c r="K397" s="18" t="n">
        <v>0.15</v>
      </c>
      <c r="L397" s="19" t="n">
        <v>1593.53</v>
      </c>
      <c r="M397" s="19" t="n">
        <v>171.81</v>
      </c>
    </row>
    <row r="398" customFormat="false" ht="15" hidden="false" customHeight="false" outlineLevel="0" collapsed="false">
      <c r="A398" s="16" t="s">
        <v>464</v>
      </c>
      <c r="B398" s="17" t="n">
        <v>45528</v>
      </c>
      <c r="C398" s="17" t="n">
        <v>45534</v>
      </c>
      <c r="D398" s="16" t="s">
        <v>32</v>
      </c>
      <c r="E398" s="16" t="s">
        <v>26</v>
      </c>
      <c r="F398" s="16" t="s">
        <v>59</v>
      </c>
      <c r="G398" s="16" t="s">
        <v>60</v>
      </c>
      <c r="H398" s="16" t="s">
        <v>29</v>
      </c>
      <c r="I398" s="16" t="s">
        <v>30</v>
      </c>
      <c r="J398" s="16" t="n">
        <v>12</v>
      </c>
      <c r="K398" s="18" t="n">
        <v>0.5</v>
      </c>
      <c r="L398" s="19" t="n">
        <v>101640.46</v>
      </c>
      <c r="M398" s="19" t="n">
        <v>-17024</v>
      </c>
    </row>
    <row r="399" customFormat="false" ht="15" hidden="false" customHeight="false" outlineLevel="0" collapsed="false">
      <c r="A399" s="16" t="s">
        <v>465</v>
      </c>
      <c r="B399" s="17" t="n">
        <v>45489</v>
      </c>
      <c r="C399" s="17" t="n">
        <v>45491</v>
      </c>
      <c r="D399" s="16" t="s">
        <v>41</v>
      </c>
      <c r="E399" s="16" t="s">
        <v>48</v>
      </c>
      <c r="F399" s="16" t="s">
        <v>59</v>
      </c>
      <c r="G399" s="16" t="s">
        <v>71</v>
      </c>
      <c r="H399" s="16" t="s">
        <v>29</v>
      </c>
      <c r="I399" s="16" t="s">
        <v>107</v>
      </c>
      <c r="J399" s="16" t="n">
        <v>12</v>
      </c>
      <c r="K399" s="18" t="n">
        <v>0.1</v>
      </c>
      <c r="L399" s="19" t="n">
        <v>188360.63</v>
      </c>
      <c r="M399" s="19" t="n">
        <v>57687.69</v>
      </c>
    </row>
    <row r="400" customFormat="false" ht="15" hidden="false" customHeight="false" outlineLevel="0" collapsed="false">
      <c r="A400" s="16" t="s">
        <v>466</v>
      </c>
      <c r="B400" s="17" t="n">
        <v>45741</v>
      </c>
      <c r="C400" s="17" t="n">
        <v>45748</v>
      </c>
      <c r="D400" s="16" t="s">
        <v>32</v>
      </c>
      <c r="E400" s="16" t="s">
        <v>26</v>
      </c>
      <c r="F400" s="16" t="s">
        <v>37</v>
      </c>
      <c r="G400" s="16" t="s">
        <v>91</v>
      </c>
      <c r="H400" s="16" t="s">
        <v>34</v>
      </c>
      <c r="I400" s="16" t="s">
        <v>61</v>
      </c>
      <c r="J400" s="16" t="n">
        <v>7</v>
      </c>
      <c r="K400" s="18" t="n">
        <v>0.3</v>
      </c>
      <c r="L400" s="19" t="n">
        <v>243643.77</v>
      </c>
      <c r="M400" s="19" t="n">
        <v>-3291.52</v>
      </c>
    </row>
    <row r="401" customFormat="false" ht="15" hidden="false" customHeight="false" outlineLevel="0" collapsed="false">
      <c r="A401" s="16" t="s">
        <v>467</v>
      </c>
      <c r="B401" s="17" t="n">
        <v>45877</v>
      </c>
      <c r="C401" s="17" t="n">
        <v>45882</v>
      </c>
      <c r="D401" s="16" t="s">
        <v>25</v>
      </c>
      <c r="E401" s="16" t="s">
        <v>48</v>
      </c>
      <c r="F401" s="16" t="s">
        <v>59</v>
      </c>
      <c r="G401" s="16" t="s">
        <v>60</v>
      </c>
      <c r="H401" s="16" t="s">
        <v>34</v>
      </c>
      <c r="I401" s="16" t="s">
        <v>35</v>
      </c>
      <c r="J401" s="16" t="n">
        <v>4</v>
      </c>
      <c r="K401" s="18" t="n">
        <v>0.4</v>
      </c>
      <c r="L401" s="19" t="n">
        <v>106817.88</v>
      </c>
      <c r="M401" s="19" t="n">
        <v>6374.46</v>
      </c>
    </row>
    <row r="402" customFormat="false" ht="15" hidden="false" customHeight="false" outlineLevel="0" collapsed="false">
      <c r="A402" s="16" t="s">
        <v>468</v>
      </c>
      <c r="B402" s="17" t="n">
        <v>45937</v>
      </c>
      <c r="C402" s="17" t="n">
        <v>45938</v>
      </c>
      <c r="D402" s="16" t="s">
        <v>47</v>
      </c>
      <c r="E402" s="16" t="s">
        <v>48</v>
      </c>
      <c r="F402" s="16" t="s">
        <v>55</v>
      </c>
      <c r="G402" s="16" t="s">
        <v>56</v>
      </c>
      <c r="H402" s="16" t="s">
        <v>29</v>
      </c>
      <c r="I402" s="16" t="s">
        <v>30</v>
      </c>
      <c r="J402" s="16" t="n">
        <v>8</v>
      </c>
      <c r="K402" s="18" t="n">
        <v>0.1</v>
      </c>
      <c r="L402" s="19" t="n">
        <v>41970.18</v>
      </c>
      <c r="M402" s="19" t="n">
        <v>1181.35</v>
      </c>
    </row>
    <row r="403" customFormat="false" ht="15" hidden="false" customHeight="false" outlineLevel="0" collapsed="false">
      <c r="A403" s="16" t="s">
        <v>469</v>
      </c>
      <c r="B403" s="17" t="n">
        <v>45953</v>
      </c>
      <c r="C403" s="17" t="n">
        <v>45957</v>
      </c>
      <c r="D403" s="16" t="s">
        <v>32</v>
      </c>
      <c r="E403" s="16" t="s">
        <v>48</v>
      </c>
      <c r="F403" s="16" t="s">
        <v>27</v>
      </c>
      <c r="G403" s="16" t="s">
        <v>28</v>
      </c>
      <c r="H403" s="16" t="s">
        <v>29</v>
      </c>
      <c r="I403" s="16" t="s">
        <v>78</v>
      </c>
      <c r="J403" s="16" t="n">
        <v>6</v>
      </c>
      <c r="K403" s="18" t="n">
        <v>0.15</v>
      </c>
      <c r="L403" s="19" t="n">
        <v>63088.91</v>
      </c>
      <c r="M403" s="19" t="n">
        <v>17635.18</v>
      </c>
    </row>
    <row r="404" customFormat="false" ht="15" hidden="false" customHeight="false" outlineLevel="0" collapsed="false">
      <c r="A404" s="16" t="s">
        <v>470</v>
      </c>
      <c r="B404" s="17" t="n">
        <v>45384</v>
      </c>
      <c r="C404" s="17" t="n">
        <v>45387</v>
      </c>
      <c r="D404" s="16" t="s">
        <v>25</v>
      </c>
      <c r="E404" s="16" t="s">
        <v>26</v>
      </c>
      <c r="F404" s="16" t="s">
        <v>27</v>
      </c>
      <c r="G404" s="16" t="s">
        <v>82</v>
      </c>
      <c r="H404" s="16" t="s">
        <v>44</v>
      </c>
      <c r="I404" s="16" t="s">
        <v>63</v>
      </c>
      <c r="J404" s="16" t="n">
        <v>12</v>
      </c>
      <c r="K404" s="18" t="n">
        <v>0.4</v>
      </c>
      <c r="L404" s="19" t="n">
        <v>8298.26</v>
      </c>
      <c r="M404" s="19" t="n">
        <v>1544.51</v>
      </c>
    </row>
    <row r="405" customFormat="false" ht="15" hidden="false" customHeight="false" outlineLevel="0" collapsed="false">
      <c r="A405" s="16" t="s">
        <v>471</v>
      </c>
      <c r="B405" s="17" t="n">
        <v>45815</v>
      </c>
      <c r="C405" s="17" t="n">
        <v>45820</v>
      </c>
      <c r="D405" s="16" t="s">
        <v>47</v>
      </c>
      <c r="E405" s="16" t="s">
        <v>26</v>
      </c>
      <c r="F405" s="16" t="s">
        <v>55</v>
      </c>
      <c r="G405" s="16" t="s">
        <v>96</v>
      </c>
      <c r="H405" s="16" t="s">
        <v>29</v>
      </c>
      <c r="I405" s="16" t="s">
        <v>107</v>
      </c>
      <c r="J405" s="16" t="n">
        <v>10</v>
      </c>
      <c r="K405" s="18" t="n">
        <v>0.1</v>
      </c>
      <c r="L405" s="19" t="n">
        <v>198360.22</v>
      </c>
      <c r="M405" s="19" t="n">
        <v>-28302.02</v>
      </c>
    </row>
    <row r="406" customFormat="false" ht="15" hidden="false" customHeight="false" outlineLevel="0" collapsed="false">
      <c r="A406" s="16" t="s">
        <v>472</v>
      </c>
      <c r="B406" s="17" t="n">
        <v>46021</v>
      </c>
      <c r="C406" s="17" t="n">
        <v>46022</v>
      </c>
      <c r="D406" s="16" t="s">
        <v>41</v>
      </c>
      <c r="E406" s="16" t="s">
        <v>48</v>
      </c>
      <c r="F406" s="16" t="s">
        <v>37</v>
      </c>
      <c r="G406" s="16" t="s">
        <v>91</v>
      </c>
      <c r="H406" s="16" t="s">
        <v>44</v>
      </c>
      <c r="I406" s="16" t="s">
        <v>80</v>
      </c>
      <c r="J406" s="16" t="n">
        <v>2</v>
      </c>
      <c r="K406" s="18" t="n">
        <v>0.2</v>
      </c>
      <c r="L406" s="19" t="n">
        <v>4616.41</v>
      </c>
      <c r="M406" s="19" t="n">
        <v>-1120.29</v>
      </c>
    </row>
    <row r="407" customFormat="false" ht="15" hidden="false" customHeight="false" outlineLevel="0" collapsed="false">
      <c r="A407" s="16" t="s">
        <v>473</v>
      </c>
      <c r="B407" s="17" t="n">
        <v>45801</v>
      </c>
      <c r="C407" s="17" t="n">
        <v>45808</v>
      </c>
      <c r="D407" s="16" t="s">
        <v>41</v>
      </c>
      <c r="E407" s="16" t="s">
        <v>26</v>
      </c>
      <c r="F407" s="16" t="s">
        <v>59</v>
      </c>
      <c r="G407" s="16" t="s">
        <v>60</v>
      </c>
      <c r="H407" s="16" t="s">
        <v>44</v>
      </c>
      <c r="I407" s="16" t="s">
        <v>98</v>
      </c>
      <c r="J407" s="16" t="n">
        <v>10</v>
      </c>
      <c r="K407" s="18" t="n">
        <v>0</v>
      </c>
      <c r="L407" s="19" t="n">
        <v>14158.42</v>
      </c>
      <c r="M407" s="19" t="n">
        <v>-1460.75</v>
      </c>
    </row>
    <row r="408" customFormat="false" ht="15" hidden="false" customHeight="false" outlineLevel="0" collapsed="false">
      <c r="A408" s="16" t="s">
        <v>474</v>
      </c>
      <c r="B408" s="17" t="n">
        <v>45852</v>
      </c>
      <c r="C408" s="17" t="n">
        <v>45855</v>
      </c>
      <c r="D408" s="16" t="s">
        <v>25</v>
      </c>
      <c r="E408" s="16" t="s">
        <v>26</v>
      </c>
      <c r="F408" s="16" t="s">
        <v>59</v>
      </c>
      <c r="G408" s="16" t="s">
        <v>66</v>
      </c>
      <c r="H408" s="16" t="s">
        <v>34</v>
      </c>
      <c r="I408" s="16" t="s">
        <v>52</v>
      </c>
      <c r="J408" s="16" t="n">
        <v>11</v>
      </c>
      <c r="K408" s="18" t="n">
        <v>0.2</v>
      </c>
      <c r="L408" s="19" t="n">
        <v>29896.04</v>
      </c>
      <c r="M408" s="19" t="n">
        <v>-1534.66</v>
      </c>
    </row>
    <row r="409" customFormat="false" ht="15" hidden="false" customHeight="false" outlineLevel="0" collapsed="false">
      <c r="A409" s="16" t="s">
        <v>475</v>
      </c>
      <c r="B409" s="17" t="n">
        <v>45381</v>
      </c>
      <c r="C409" s="17" t="n">
        <v>45382</v>
      </c>
      <c r="D409" s="16" t="s">
        <v>47</v>
      </c>
      <c r="E409" s="16" t="s">
        <v>42</v>
      </c>
      <c r="F409" s="16" t="s">
        <v>27</v>
      </c>
      <c r="G409" s="16" t="s">
        <v>28</v>
      </c>
      <c r="H409" s="16" t="s">
        <v>29</v>
      </c>
      <c r="I409" s="16" t="s">
        <v>107</v>
      </c>
      <c r="J409" s="16" t="n">
        <v>10</v>
      </c>
      <c r="K409" s="18" t="n">
        <v>0.1</v>
      </c>
      <c r="L409" s="19" t="n">
        <v>154811.39</v>
      </c>
      <c r="M409" s="19" t="n">
        <v>51053.07</v>
      </c>
    </row>
    <row r="410" customFormat="false" ht="15" hidden="false" customHeight="false" outlineLevel="0" collapsed="false">
      <c r="A410" s="16" t="s">
        <v>476</v>
      </c>
      <c r="B410" s="17" t="n">
        <v>45884</v>
      </c>
      <c r="C410" s="17" t="n">
        <v>45887</v>
      </c>
      <c r="D410" s="16" t="s">
        <v>32</v>
      </c>
      <c r="E410" s="16" t="s">
        <v>48</v>
      </c>
      <c r="F410" s="16" t="s">
        <v>37</v>
      </c>
      <c r="G410" s="16" t="s">
        <v>43</v>
      </c>
      <c r="H410" s="16" t="s">
        <v>29</v>
      </c>
      <c r="I410" s="16" t="s">
        <v>78</v>
      </c>
      <c r="J410" s="16" t="n">
        <v>2</v>
      </c>
      <c r="K410" s="18" t="n">
        <v>0.5</v>
      </c>
      <c r="L410" s="19" t="n">
        <v>19444.17</v>
      </c>
      <c r="M410" s="19" t="n">
        <v>-3291.36</v>
      </c>
    </row>
    <row r="411" customFormat="false" ht="15" hidden="false" customHeight="false" outlineLevel="0" collapsed="false">
      <c r="A411" s="16" t="s">
        <v>477</v>
      </c>
      <c r="B411" s="17" t="n">
        <v>46003</v>
      </c>
      <c r="C411" s="17" t="n">
        <v>46010</v>
      </c>
      <c r="D411" s="16" t="s">
        <v>41</v>
      </c>
      <c r="E411" s="16" t="s">
        <v>42</v>
      </c>
      <c r="F411" s="16" t="s">
        <v>55</v>
      </c>
      <c r="G411" s="16" t="s">
        <v>69</v>
      </c>
      <c r="H411" s="16" t="s">
        <v>44</v>
      </c>
      <c r="I411" s="16" t="s">
        <v>80</v>
      </c>
      <c r="J411" s="16" t="n">
        <v>10</v>
      </c>
      <c r="K411" s="18" t="n">
        <v>0</v>
      </c>
      <c r="L411" s="19" t="n">
        <v>17569.65</v>
      </c>
      <c r="M411" s="19" t="n">
        <v>706.26</v>
      </c>
    </row>
    <row r="412" customFormat="false" ht="15" hidden="false" customHeight="false" outlineLevel="0" collapsed="false">
      <c r="A412" s="16" t="s">
        <v>478</v>
      </c>
      <c r="B412" s="17" t="n">
        <v>45997</v>
      </c>
      <c r="C412" s="17" t="n">
        <v>46002</v>
      </c>
      <c r="D412" s="16" t="s">
        <v>47</v>
      </c>
      <c r="E412" s="16" t="s">
        <v>48</v>
      </c>
      <c r="F412" s="16" t="s">
        <v>55</v>
      </c>
      <c r="G412" s="16" t="s">
        <v>86</v>
      </c>
      <c r="H412" s="16" t="s">
        <v>34</v>
      </c>
      <c r="I412" s="16" t="s">
        <v>57</v>
      </c>
      <c r="J412" s="16" t="n">
        <v>3</v>
      </c>
      <c r="K412" s="18" t="n">
        <v>0.5</v>
      </c>
      <c r="L412" s="19" t="n">
        <v>66235.96</v>
      </c>
      <c r="M412" s="19" t="n">
        <v>3013.91</v>
      </c>
    </row>
    <row r="413" customFormat="false" ht="15" hidden="false" customHeight="false" outlineLevel="0" collapsed="false">
      <c r="A413" s="16" t="s">
        <v>479</v>
      </c>
      <c r="B413" s="17" t="n">
        <v>45476</v>
      </c>
      <c r="C413" s="17" t="n">
        <v>45481</v>
      </c>
      <c r="D413" s="16" t="s">
        <v>25</v>
      </c>
      <c r="E413" s="16" t="s">
        <v>26</v>
      </c>
      <c r="F413" s="16" t="s">
        <v>27</v>
      </c>
      <c r="G413" s="16" t="s">
        <v>82</v>
      </c>
      <c r="H413" s="16" t="s">
        <v>29</v>
      </c>
      <c r="I413" s="16" t="s">
        <v>30</v>
      </c>
      <c r="J413" s="16" t="n">
        <v>8</v>
      </c>
      <c r="K413" s="18" t="n">
        <v>0.4</v>
      </c>
      <c r="L413" s="19" t="n">
        <v>78650.87</v>
      </c>
      <c r="M413" s="19" t="n">
        <v>-123.9</v>
      </c>
    </row>
    <row r="414" customFormat="false" ht="15" hidden="false" customHeight="false" outlineLevel="0" collapsed="false">
      <c r="A414" s="16" t="s">
        <v>480</v>
      </c>
      <c r="B414" s="17" t="n">
        <v>45633</v>
      </c>
      <c r="C414" s="17" t="n">
        <v>45636</v>
      </c>
      <c r="D414" s="16" t="s">
        <v>47</v>
      </c>
      <c r="E414" s="16" t="s">
        <v>42</v>
      </c>
      <c r="F414" s="16" t="s">
        <v>59</v>
      </c>
      <c r="G414" s="16" t="s">
        <v>66</v>
      </c>
      <c r="H414" s="16" t="s">
        <v>34</v>
      </c>
      <c r="I414" s="16" t="s">
        <v>52</v>
      </c>
      <c r="J414" s="16" t="n">
        <v>5</v>
      </c>
      <c r="K414" s="18" t="n">
        <v>0.3</v>
      </c>
      <c r="L414" s="19" t="n">
        <v>108994.7</v>
      </c>
      <c r="M414" s="19" t="n">
        <v>22912.82</v>
      </c>
    </row>
    <row r="415" customFormat="false" ht="15" hidden="false" customHeight="false" outlineLevel="0" collapsed="false">
      <c r="A415" s="16" t="s">
        <v>481</v>
      </c>
      <c r="B415" s="17" t="n">
        <v>45408</v>
      </c>
      <c r="C415" s="17" t="n">
        <v>45414</v>
      </c>
      <c r="D415" s="16" t="s">
        <v>41</v>
      </c>
      <c r="E415" s="16" t="s">
        <v>26</v>
      </c>
      <c r="F415" s="16" t="s">
        <v>55</v>
      </c>
      <c r="G415" s="16" t="s">
        <v>96</v>
      </c>
      <c r="H415" s="16" t="s">
        <v>44</v>
      </c>
      <c r="I415" s="16" t="s">
        <v>80</v>
      </c>
      <c r="J415" s="16" t="n">
        <v>6</v>
      </c>
      <c r="K415" s="18" t="n">
        <v>0.5</v>
      </c>
      <c r="L415" s="19" t="n">
        <v>8323.83</v>
      </c>
      <c r="M415" s="19" t="n">
        <v>1900.77</v>
      </c>
    </row>
    <row r="416" customFormat="false" ht="15" hidden="false" customHeight="false" outlineLevel="0" collapsed="false">
      <c r="A416" s="16" t="s">
        <v>482</v>
      </c>
      <c r="B416" s="17" t="n">
        <v>45953</v>
      </c>
      <c r="C416" s="17" t="n">
        <v>45955</v>
      </c>
      <c r="D416" s="16" t="s">
        <v>32</v>
      </c>
      <c r="E416" s="16" t="s">
        <v>48</v>
      </c>
      <c r="F416" s="16" t="s">
        <v>55</v>
      </c>
      <c r="G416" s="16" t="s">
        <v>86</v>
      </c>
      <c r="H416" s="16" t="s">
        <v>44</v>
      </c>
      <c r="I416" s="16" t="s">
        <v>67</v>
      </c>
      <c r="J416" s="16" t="n">
        <v>12</v>
      </c>
      <c r="K416" s="18" t="n">
        <v>0.3</v>
      </c>
      <c r="L416" s="19" t="n">
        <v>13533.34</v>
      </c>
      <c r="M416" s="19" t="n">
        <v>1124.71</v>
      </c>
    </row>
    <row r="417" customFormat="false" ht="15" hidden="false" customHeight="false" outlineLevel="0" collapsed="false">
      <c r="A417" s="16" t="s">
        <v>483</v>
      </c>
      <c r="B417" s="17" t="n">
        <v>45311</v>
      </c>
      <c r="C417" s="17" t="n">
        <v>45313</v>
      </c>
      <c r="D417" s="16" t="s">
        <v>47</v>
      </c>
      <c r="E417" s="16" t="s">
        <v>26</v>
      </c>
      <c r="F417" s="16" t="s">
        <v>37</v>
      </c>
      <c r="G417" s="16" t="s">
        <v>38</v>
      </c>
      <c r="H417" s="16" t="s">
        <v>34</v>
      </c>
      <c r="I417" s="16" t="s">
        <v>57</v>
      </c>
      <c r="J417" s="16" t="n">
        <v>1</v>
      </c>
      <c r="K417" s="18" t="n">
        <v>0.1</v>
      </c>
      <c r="L417" s="19" t="n">
        <v>29479.48</v>
      </c>
      <c r="M417" s="19" t="n">
        <v>2729.48</v>
      </c>
    </row>
    <row r="418" customFormat="false" ht="15" hidden="false" customHeight="false" outlineLevel="0" collapsed="false">
      <c r="A418" s="16" t="s">
        <v>484</v>
      </c>
      <c r="B418" s="17" t="n">
        <v>45690</v>
      </c>
      <c r="C418" s="17" t="n">
        <v>45692</v>
      </c>
      <c r="D418" s="16" t="s">
        <v>25</v>
      </c>
      <c r="E418" s="16" t="s">
        <v>42</v>
      </c>
      <c r="F418" s="16" t="s">
        <v>37</v>
      </c>
      <c r="G418" s="16" t="s">
        <v>43</v>
      </c>
      <c r="H418" s="16" t="s">
        <v>34</v>
      </c>
      <c r="I418" s="16" t="s">
        <v>35</v>
      </c>
      <c r="J418" s="16" t="n">
        <v>5</v>
      </c>
      <c r="K418" s="18" t="n">
        <v>0.5</v>
      </c>
      <c r="L418" s="19" t="n">
        <v>38505.18</v>
      </c>
      <c r="M418" s="19" t="n">
        <v>9536.75</v>
      </c>
    </row>
    <row r="419" customFormat="false" ht="15" hidden="false" customHeight="false" outlineLevel="0" collapsed="false">
      <c r="A419" s="16" t="s">
        <v>485</v>
      </c>
      <c r="B419" s="17" t="n">
        <v>45601</v>
      </c>
      <c r="C419" s="17" t="n">
        <v>45603</v>
      </c>
      <c r="D419" s="16" t="s">
        <v>25</v>
      </c>
      <c r="E419" s="16" t="s">
        <v>48</v>
      </c>
      <c r="F419" s="16" t="s">
        <v>27</v>
      </c>
      <c r="G419" s="16" t="s">
        <v>82</v>
      </c>
      <c r="H419" s="16" t="s">
        <v>34</v>
      </c>
      <c r="I419" s="16" t="s">
        <v>57</v>
      </c>
      <c r="J419" s="16" t="n">
        <v>4</v>
      </c>
      <c r="K419" s="18" t="n">
        <v>0.5</v>
      </c>
      <c r="L419" s="19" t="n">
        <v>5917.37</v>
      </c>
      <c r="M419" s="19" t="n">
        <v>1733.63</v>
      </c>
    </row>
    <row r="420" customFormat="false" ht="15" hidden="false" customHeight="false" outlineLevel="0" collapsed="false">
      <c r="A420" s="16" t="s">
        <v>486</v>
      </c>
      <c r="B420" s="17" t="n">
        <v>45449</v>
      </c>
      <c r="C420" s="17" t="n">
        <v>45451</v>
      </c>
      <c r="D420" s="16" t="s">
        <v>25</v>
      </c>
      <c r="E420" s="16" t="s">
        <v>26</v>
      </c>
      <c r="F420" s="16" t="s">
        <v>37</v>
      </c>
      <c r="G420" s="16" t="s">
        <v>43</v>
      </c>
      <c r="H420" s="16" t="s">
        <v>44</v>
      </c>
      <c r="I420" s="16" t="s">
        <v>50</v>
      </c>
      <c r="J420" s="16" t="n">
        <v>9</v>
      </c>
      <c r="K420" s="18" t="n">
        <v>0.5</v>
      </c>
      <c r="L420" s="19" t="n">
        <v>2181.96</v>
      </c>
      <c r="M420" s="19" t="n">
        <v>-38.07</v>
      </c>
    </row>
    <row r="421" customFormat="false" ht="15" hidden="false" customHeight="false" outlineLevel="0" collapsed="false">
      <c r="A421" s="16" t="s">
        <v>487</v>
      </c>
      <c r="B421" s="17" t="n">
        <v>45826</v>
      </c>
      <c r="C421" s="17" t="n">
        <v>45827</v>
      </c>
      <c r="D421" s="16" t="s">
        <v>32</v>
      </c>
      <c r="E421" s="16" t="s">
        <v>48</v>
      </c>
      <c r="F421" s="16" t="s">
        <v>59</v>
      </c>
      <c r="G421" s="16" t="s">
        <v>75</v>
      </c>
      <c r="H421" s="16" t="s">
        <v>29</v>
      </c>
      <c r="I421" s="16" t="s">
        <v>30</v>
      </c>
      <c r="J421" s="16" t="n">
        <v>1</v>
      </c>
      <c r="K421" s="18" t="n">
        <v>0</v>
      </c>
      <c r="L421" s="19" t="n">
        <v>4371.37</v>
      </c>
      <c r="M421" s="19" t="n">
        <v>421.99</v>
      </c>
    </row>
    <row r="422" customFormat="false" ht="15" hidden="false" customHeight="false" outlineLevel="0" collapsed="false">
      <c r="A422" s="16" t="s">
        <v>488</v>
      </c>
      <c r="B422" s="17" t="n">
        <v>45611</v>
      </c>
      <c r="C422" s="17" t="n">
        <v>45617</v>
      </c>
      <c r="D422" s="16" t="s">
        <v>47</v>
      </c>
      <c r="E422" s="16" t="s">
        <v>48</v>
      </c>
      <c r="F422" s="16" t="s">
        <v>27</v>
      </c>
      <c r="G422" s="16" t="s">
        <v>28</v>
      </c>
      <c r="H422" s="16" t="s">
        <v>29</v>
      </c>
      <c r="I422" s="16" t="s">
        <v>30</v>
      </c>
      <c r="J422" s="16" t="n">
        <v>9</v>
      </c>
      <c r="K422" s="18" t="n">
        <v>0.1</v>
      </c>
      <c r="L422" s="19" t="n">
        <v>75657.61</v>
      </c>
      <c r="M422" s="19" t="n">
        <v>-11764.94</v>
      </c>
    </row>
    <row r="423" customFormat="false" ht="15" hidden="false" customHeight="false" outlineLevel="0" collapsed="false">
      <c r="A423" s="16" t="s">
        <v>489</v>
      </c>
      <c r="B423" s="17" t="n">
        <v>45409</v>
      </c>
      <c r="C423" s="17" t="n">
        <v>45410</v>
      </c>
      <c r="D423" s="16" t="s">
        <v>47</v>
      </c>
      <c r="E423" s="16" t="s">
        <v>42</v>
      </c>
      <c r="F423" s="16" t="s">
        <v>27</v>
      </c>
      <c r="G423" s="16" t="s">
        <v>73</v>
      </c>
      <c r="H423" s="16" t="s">
        <v>34</v>
      </c>
      <c r="I423" s="16" t="s">
        <v>35</v>
      </c>
      <c r="J423" s="16" t="n">
        <v>5</v>
      </c>
      <c r="K423" s="18" t="n">
        <v>0.15</v>
      </c>
      <c r="L423" s="19" t="n">
        <v>76802.43</v>
      </c>
      <c r="M423" s="19" t="n">
        <v>-11308.01</v>
      </c>
    </row>
    <row r="424" customFormat="false" ht="15" hidden="false" customHeight="false" outlineLevel="0" collapsed="false">
      <c r="A424" s="16" t="s">
        <v>490</v>
      </c>
      <c r="B424" s="17" t="n">
        <v>45610</v>
      </c>
      <c r="C424" s="17" t="n">
        <v>45615</v>
      </c>
      <c r="D424" s="16" t="s">
        <v>25</v>
      </c>
      <c r="E424" s="16" t="s">
        <v>26</v>
      </c>
      <c r="F424" s="16" t="s">
        <v>55</v>
      </c>
      <c r="G424" s="16" t="s">
        <v>96</v>
      </c>
      <c r="H424" s="16" t="s">
        <v>44</v>
      </c>
      <c r="I424" s="16" t="s">
        <v>98</v>
      </c>
      <c r="J424" s="16" t="n">
        <v>8</v>
      </c>
      <c r="K424" s="18" t="n">
        <v>0</v>
      </c>
      <c r="L424" s="19" t="n">
        <v>1970.58</v>
      </c>
      <c r="M424" s="19" t="n">
        <v>11.59</v>
      </c>
    </row>
    <row r="425" customFormat="false" ht="15" hidden="false" customHeight="false" outlineLevel="0" collapsed="false">
      <c r="A425" s="16" t="s">
        <v>491</v>
      </c>
      <c r="B425" s="17" t="n">
        <v>45475</v>
      </c>
      <c r="C425" s="17" t="n">
        <v>45481</v>
      </c>
      <c r="D425" s="16" t="s">
        <v>41</v>
      </c>
      <c r="E425" s="16" t="s">
        <v>48</v>
      </c>
      <c r="F425" s="16" t="s">
        <v>37</v>
      </c>
      <c r="G425" s="16" t="s">
        <v>43</v>
      </c>
      <c r="H425" s="16" t="s">
        <v>34</v>
      </c>
      <c r="I425" s="16" t="s">
        <v>61</v>
      </c>
      <c r="J425" s="16" t="n">
        <v>12</v>
      </c>
      <c r="K425" s="18" t="n">
        <v>0.5</v>
      </c>
      <c r="L425" s="19" t="n">
        <v>36569.51</v>
      </c>
      <c r="M425" s="19" t="n">
        <v>3315.89</v>
      </c>
    </row>
    <row r="426" customFormat="false" ht="15" hidden="false" customHeight="false" outlineLevel="0" collapsed="false">
      <c r="A426" s="16" t="s">
        <v>492</v>
      </c>
      <c r="B426" s="17" t="n">
        <v>45387</v>
      </c>
      <c r="C426" s="17" t="n">
        <v>45394</v>
      </c>
      <c r="D426" s="16" t="s">
        <v>32</v>
      </c>
      <c r="E426" s="16" t="s">
        <v>48</v>
      </c>
      <c r="F426" s="16" t="s">
        <v>59</v>
      </c>
      <c r="G426" s="16" t="s">
        <v>60</v>
      </c>
      <c r="H426" s="16" t="s">
        <v>34</v>
      </c>
      <c r="I426" s="16" t="s">
        <v>61</v>
      </c>
      <c r="J426" s="16" t="n">
        <v>8</v>
      </c>
      <c r="K426" s="18" t="n">
        <v>0.2</v>
      </c>
      <c r="L426" s="19" t="n">
        <v>331994.45</v>
      </c>
      <c r="M426" s="19" t="n">
        <v>98840.38</v>
      </c>
    </row>
    <row r="427" customFormat="false" ht="15" hidden="false" customHeight="false" outlineLevel="0" collapsed="false">
      <c r="A427" s="16" t="s">
        <v>493</v>
      </c>
      <c r="B427" s="17" t="n">
        <v>45693</v>
      </c>
      <c r="C427" s="17" t="n">
        <v>45695</v>
      </c>
      <c r="D427" s="16" t="s">
        <v>25</v>
      </c>
      <c r="E427" s="16" t="s">
        <v>48</v>
      </c>
      <c r="F427" s="16" t="s">
        <v>37</v>
      </c>
      <c r="G427" s="16" t="s">
        <v>91</v>
      </c>
      <c r="H427" s="16" t="s">
        <v>34</v>
      </c>
      <c r="I427" s="16" t="s">
        <v>57</v>
      </c>
      <c r="J427" s="16" t="n">
        <v>2</v>
      </c>
      <c r="K427" s="18" t="n">
        <v>0.1</v>
      </c>
      <c r="L427" s="19" t="n">
        <v>51268.75</v>
      </c>
      <c r="M427" s="19" t="n">
        <v>-4134.6</v>
      </c>
    </row>
    <row r="428" customFormat="false" ht="15" hidden="false" customHeight="false" outlineLevel="0" collapsed="false">
      <c r="A428" s="16" t="s">
        <v>494</v>
      </c>
      <c r="B428" s="17" t="n">
        <v>45648</v>
      </c>
      <c r="C428" s="17" t="n">
        <v>45653</v>
      </c>
      <c r="D428" s="16" t="s">
        <v>25</v>
      </c>
      <c r="E428" s="16" t="s">
        <v>42</v>
      </c>
      <c r="F428" s="16" t="s">
        <v>59</v>
      </c>
      <c r="G428" s="16" t="s">
        <v>60</v>
      </c>
      <c r="H428" s="16" t="s">
        <v>34</v>
      </c>
      <c r="I428" s="16" t="s">
        <v>52</v>
      </c>
      <c r="J428" s="16" t="n">
        <v>6</v>
      </c>
      <c r="K428" s="18" t="n">
        <v>0.5</v>
      </c>
      <c r="L428" s="19" t="n">
        <v>57521.73</v>
      </c>
      <c r="M428" s="19" t="n">
        <v>-547.04</v>
      </c>
    </row>
    <row r="429" customFormat="false" ht="15" hidden="false" customHeight="false" outlineLevel="0" collapsed="false">
      <c r="A429" s="16" t="s">
        <v>495</v>
      </c>
      <c r="B429" s="17" t="n">
        <v>45715</v>
      </c>
      <c r="C429" s="17" t="n">
        <v>45717</v>
      </c>
      <c r="D429" s="16" t="s">
        <v>25</v>
      </c>
      <c r="E429" s="16" t="s">
        <v>48</v>
      </c>
      <c r="F429" s="16" t="s">
        <v>27</v>
      </c>
      <c r="G429" s="16" t="s">
        <v>33</v>
      </c>
      <c r="H429" s="16" t="s">
        <v>34</v>
      </c>
      <c r="I429" s="16" t="s">
        <v>52</v>
      </c>
      <c r="J429" s="16" t="n">
        <v>6</v>
      </c>
      <c r="K429" s="18" t="n">
        <v>0.4</v>
      </c>
      <c r="L429" s="19" t="n">
        <v>96199.87</v>
      </c>
      <c r="M429" s="19" t="n">
        <v>8689.42</v>
      </c>
    </row>
    <row r="430" customFormat="false" ht="15" hidden="false" customHeight="false" outlineLevel="0" collapsed="false">
      <c r="A430" s="16" t="s">
        <v>496</v>
      </c>
      <c r="B430" s="17" t="n">
        <v>45642</v>
      </c>
      <c r="C430" s="17" t="n">
        <v>45647</v>
      </c>
      <c r="D430" s="16" t="s">
        <v>32</v>
      </c>
      <c r="E430" s="16" t="s">
        <v>42</v>
      </c>
      <c r="F430" s="16" t="s">
        <v>27</v>
      </c>
      <c r="G430" s="16" t="s">
        <v>82</v>
      </c>
      <c r="H430" s="16" t="s">
        <v>34</v>
      </c>
      <c r="I430" s="16" t="s">
        <v>52</v>
      </c>
      <c r="J430" s="16" t="n">
        <v>2</v>
      </c>
      <c r="K430" s="18" t="n">
        <v>0.5</v>
      </c>
      <c r="L430" s="19" t="n">
        <v>33972.63</v>
      </c>
      <c r="M430" s="19" t="n">
        <v>-4902.1</v>
      </c>
    </row>
    <row r="431" customFormat="false" ht="15" hidden="false" customHeight="false" outlineLevel="0" collapsed="false">
      <c r="A431" s="16" t="s">
        <v>497</v>
      </c>
      <c r="B431" s="17" t="n">
        <v>45707</v>
      </c>
      <c r="C431" s="17" t="n">
        <v>45708</v>
      </c>
      <c r="D431" s="16" t="s">
        <v>25</v>
      </c>
      <c r="E431" s="16" t="s">
        <v>48</v>
      </c>
      <c r="F431" s="16" t="s">
        <v>55</v>
      </c>
      <c r="G431" s="16" t="s">
        <v>86</v>
      </c>
      <c r="H431" s="16" t="s">
        <v>34</v>
      </c>
      <c r="I431" s="16" t="s">
        <v>35</v>
      </c>
      <c r="J431" s="16" t="n">
        <v>2</v>
      </c>
      <c r="K431" s="18" t="n">
        <v>0</v>
      </c>
      <c r="L431" s="19" t="n">
        <v>70949.84</v>
      </c>
      <c r="M431" s="19" t="n">
        <v>14491.27</v>
      </c>
    </row>
    <row r="432" customFormat="false" ht="15" hidden="false" customHeight="false" outlineLevel="0" collapsed="false">
      <c r="A432" s="16" t="s">
        <v>498</v>
      </c>
      <c r="B432" s="17" t="n">
        <v>45968</v>
      </c>
      <c r="C432" s="17" t="n">
        <v>45970</v>
      </c>
      <c r="D432" s="16" t="s">
        <v>32</v>
      </c>
      <c r="E432" s="16" t="s">
        <v>42</v>
      </c>
      <c r="F432" s="16" t="s">
        <v>37</v>
      </c>
      <c r="G432" s="16" t="s">
        <v>91</v>
      </c>
      <c r="H432" s="16" t="s">
        <v>44</v>
      </c>
      <c r="I432" s="16" t="s">
        <v>98</v>
      </c>
      <c r="J432" s="16" t="n">
        <v>4</v>
      </c>
      <c r="K432" s="18" t="n">
        <v>0.2</v>
      </c>
      <c r="L432" s="19" t="n">
        <v>8462.51</v>
      </c>
      <c r="M432" s="19" t="n">
        <v>2548.07</v>
      </c>
    </row>
    <row r="433" customFormat="false" ht="15" hidden="false" customHeight="false" outlineLevel="0" collapsed="false">
      <c r="A433" s="16" t="s">
        <v>499</v>
      </c>
      <c r="B433" s="17" t="n">
        <v>45737</v>
      </c>
      <c r="C433" s="17" t="n">
        <v>45743</v>
      </c>
      <c r="D433" s="16" t="s">
        <v>47</v>
      </c>
      <c r="E433" s="16" t="s">
        <v>26</v>
      </c>
      <c r="F433" s="16" t="s">
        <v>59</v>
      </c>
      <c r="G433" s="16" t="s">
        <v>60</v>
      </c>
      <c r="H433" s="16" t="s">
        <v>44</v>
      </c>
      <c r="I433" s="16" t="s">
        <v>45</v>
      </c>
      <c r="J433" s="16" t="n">
        <v>1</v>
      </c>
      <c r="K433" s="18" t="n">
        <v>0.3</v>
      </c>
      <c r="L433" s="19" t="n">
        <v>1184.24</v>
      </c>
      <c r="M433" s="19" t="n">
        <v>-218.11</v>
      </c>
    </row>
    <row r="434" customFormat="false" ht="15" hidden="false" customHeight="false" outlineLevel="0" collapsed="false">
      <c r="A434" s="16" t="s">
        <v>500</v>
      </c>
      <c r="B434" s="17" t="n">
        <v>45580</v>
      </c>
      <c r="C434" s="17" t="n">
        <v>45587</v>
      </c>
      <c r="D434" s="16" t="s">
        <v>47</v>
      </c>
      <c r="E434" s="16" t="s">
        <v>42</v>
      </c>
      <c r="F434" s="16" t="s">
        <v>55</v>
      </c>
      <c r="G434" s="16" t="s">
        <v>56</v>
      </c>
      <c r="H434" s="16" t="s">
        <v>29</v>
      </c>
      <c r="I434" s="16" t="s">
        <v>39</v>
      </c>
      <c r="J434" s="16" t="n">
        <v>12</v>
      </c>
      <c r="K434" s="18" t="n">
        <v>0.1</v>
      </c>
      <c r="L434" s="19" t="n">
        <v>116684.94</v>
      </c>
      <c r="M434" s="19" t="n">
        <v>4074.97</v>
      </c>
    </row>
    <row r="435" customFormat="false" ht="15" hidden="false" customHeight="false" outlineLevel="0" collapsed="false">
      <c r="A435" s="16" t="s">
        <v>501</v>
      </c>
      <c r="B435" s="17" t="n">
        <v>45484</v>
      </c>
      <c r="C435" s="17" t="n">
        <v>45489</v>
      </c>
      <c r="D435" s="16" t="s">
        <v>41</v>
      </c>
      <c r="E435" s="16" t="s">
        <v>48</v>
      </c>
      <c r="F435" s="16" t="s">
        <v>55</v>
      </c>
      <c r="G435" s="16" t="s">
        <v>69</v>
      </c>
      <c r="H435" s="16" t="s">
        <v>44</v>
      </c>
      <c r="I435" s="16" t="s">
        <v>80</v>
      </c>
      <c r="J435" s="16" t="n">
        <v>3</v>
      </c>
      <c r="K435" s="18" t="n">
        <v>0.5</v>
      </c>
      <c r="L435" s="19" t="n">
        <v>2970.49</v>
      </c>
      <c r="M435" s="19" t="n">
        <v>430</v>
      </c>
    </row>
    <row r="436" customFormat="false" ht="15" hidden="false" customHeight="false" outlineLevel="0" collapsed="false">
      <c r="A436" s="16" t="s">
        <v>502</v>
      </c>
      <c r="B436" s="17" t="n">
        <v>45431</v>
      </c>
      <c r="C436" s="17" t="n">
        <v>45432</v>
      </c>
      <c r="D436" s="16" t="s">
        <v>41</v>
      </c>
      <c r="E436" s="16" t="s">
        <v>42</v>
      </c>
      <c r="F436" s="16" t="s">
        <v>55</v>
      </c>
      <c r="G436" s="16" t="s">
        <v>56</v>
      </c>
      <c r="H436" s="16" t="s">
        <v>29</v>
      </c>
      <c r="I436" s="16" t="s">
        <v>107</v>
      </c>
      <c r="J436" s="16" t="n">
        <v>8</v>
      </c>
      <c r="K436" s="18" t="n">
        <v>0.3</v>
      </c>
      <c r="L436" s="19" t="n">
        <v>76812.64</v>
      </c>
      <c r="M436" s="19" t="n">
        <v>-8799.31</v>
      </c>
    </row>
    <row r="437" customFormat="false" ht="15" hidden="false" customHeight="false" outlineLevel="0" collapsed="false">
      <c r="A437" s="16" t="s">
        <v>503</v>
      </c>
      <c r="B437" s="17" t="n">
        <v>45726</v>
      </c>
      <c r="C437" s="17" t="n">
        <v>45731</v>
      </c>
      <c r="D437" s="16" t="s">
        <v>47</v>
      </c>
      <c r="E437" s="16" t="s">
        <v>48</v>
      </c>
      <c r="F437" s="16" t="s">
        <v>27</v>
      </c>
      <c r="G437" s="16" t="s">
        <v>73</v>
      </c>
      <c r="H437" s="16" t="s">
        <v>29</v>
      </c>
      <c r="I437" s="16" t="s">
        <v>107</v>
      </c>
      <c r="J437" s="16" t="n">
        <v>1</v>
      </c>
      <c r="K437" s="18" t="n">
        <v>0</v>
      </c>
      <c r="L437" s="19" t="n">
        <v>24499.37</v>
      </c>
      <c r="M437" s="19" t="n">
        <v>2404.89</v>
      </c>
    </row>
    <row r="438" customFormat="false" ht="15" hidden="false" customHeight="false" outlineLevel="0" collapsed="false">
      <c r="A438" s="16" t="s">
        <v>504</v>
      </c>
      <c r="B438" s="17" t="n">
        <v>45999</v>
      </c>
      <c r="C438" s="17" t="n">
        <v>46000</v>
      </c>
      <c r="D438" s="16" t="s">
        <v>25</v>
      </c>
      <c r="E438" s="16" t="s">
        <v>42</v>
      </c>
      <c r="F438" s="16" t="s">
        <v>55</v>
      </c>
      <c r="G438" s="16" t="s">
        <v>96</v>
      </c>
      <c r="H438" s="16" t="s">
        <v>29</v>
      </c>
      <c r="I438" s="16" t="s">
        <v>30</v>
      </c>
      <c r="J438" s="16" t="n">
        <v>4</v>
      </c>
      <c r="K438" s="18" t="n">
        <v>0</v>
      </c>
      <c r="L438" s="19" t="n">
        <v>51465.54</v>
      </c>
      <c r="M438" s="19" t="n">
        <v>8257.36</v>
      </c>
    </row>
    <row r="439" customFormat="false" ht="15" hidden="false" customHeight="false" outlineLevel="0" collapsed="false">
      <c r="A439" s="16" t="s">
        <v>505</v>
      </c>
      <c r="B439" s="17" t="n">
        <v>45844</v>
      </c>
      <c r="C439" s="17" t="n">
        <v>45851</v>
      </c>
      <c r="D439" s="16" t="s">
        <v>25</v>
      </c>
      <c r="E439" s="16" t="s">
        <v>42</v>
      </c>
      <c r="F439" s="16" t="s">
        <v>59</v>
      </c>
      <c r="G439" s="16" t="s">
        <v>71</v>
      </c>
      <c r="H439" s="16" t="s">
        <v>34</v>
      </c>
      <c r="I439" s="16" t="s">
        <v>57</v>
      </c>
      <c r="J439" s="16" t="n">
        <v>8</v>
      </c>
      <c r="K439" s="18" t="n">
        <v>0.3</v>
      </c>
      <c r="L439" s="19" t="n">
        <v>196431.03</v>
      </c>
      <c r="M439" s="19" t="n">
        <v>512.62</v>
      </c>
    </row>
    <row r="440" customFormat="false" ht="15" hidden="false" customHeight="false" outlineLevel="0" collapsed="false">
      <c r="A440" s="16" t="s">
        <v>506</v>
      </c>
      <c r="B440" s="17" t="n">
        <v>45593</v>
      </c>
      <c r="C440" s="17" t="n">
        <v>45596</v>
      </c>
      <c r="D440" s="16" t="s">
        <v>32</v>
      </c>
      <c r="E440" s="16" t="s">
        <v>26</v>
      </c>
      <c r="F440" s="16" t="s">
        <v>37</v>
      </c>
      <c r="G440" s="16" t="s">
        <v>43</v>
      </c>
      <c r="H440" s="16" t="s">
        <v>29</v>
      </c>
      <c r="I440" s="16" t="s">
        <v>78</v>
      </c>
      <c r="J440" s="16" t="n">
        <v>10</v>
      </c>
      <c r="K440" s="18" t="n">
        <v>0</v>
      </c>
      <c r="L440" s="19" t="n">
        <v>58888.23</v>
      </c>
      <c r="M440" s="19" t="n">
        <v>-4588.02</v>
      </c>
    </row>
    <row r="441" customFormat="false" ht="15" hidden="false" customHeight="false" outlineLevel="0" collapsed="false">
      <c r="A441" s="16" t="s">
        <v>507</v>
      </c>
      <c r="B441" s="17" t="n">
        <v>45376</v>
      </c>
      <c r="C441" s="17" t="n">
        <v>45378</v>
      </c>
      <c r="D441" s="16" t="s">
        <v>47</v>
      </c>
      <c r="E441" s="16" t="s">
        <v>26</v>
      </c>
      <c r="F441" s="16" t="s">
        <v>37</v>
      </c>
      <c r="G441" s="16" t="s">
        <v>43</v>
      </c>
      <c r="H441" s="16" t="s">
        <v>34</v>
      </c>
      <c r="I441" s="16" t="s">
        <v>35</v>
      </c>
      <c r="J441" s="16" t="n">
        <v>5</v>
      </c>
      <c r="K441" s="18" t="n">
        <v>0.1</v>
      </c>
      <c r="L441" s="19" t="n">
        <v>36115.38</v>
      </c>
      <c r="M441" s="19" t="n">
        <v>10693</v>
      </c>
    </row>
    <row r="442" customFormat="false" ht="15" hidden="false" customHeight="false" outlineLevel="0" collapsed="false">
      <c r="A442" s="16" t="s">
        <v>508</v>
      </c>
      <c r="B442" s="17" t="n">
        <v>45446</v>
      </c>
      <c r="C442" s="17" t="n">
        <v>45452</v>
      </c>
      <c r="D442" s="16" t="s">
        <v>41</v>
      </c>
      <c r="E442" s="16" t="s">
        <v>42</v>
      </c>
      <c r="F442" s="16" t="s">
        <v>27</v>
      </c>
      <c r="G442" s="16" t="s">
        <v>73</v>
      </c>
      <c r="H442" s="16" t="s">
        <v>44</v>
      </c>
      <c r="I442" s="16" t="s">
        <v>80</v>
      </c>
      <c r="J442" s="16" t="n">
        <v>8</v>
      </c>
      <c r="K442" s="18" t="n">
        <v>0</v>
      </c>
      <c r="L442" s="19" t="n">
        <v>13035.42</v>
      </c>
      <c r="M442" s="19" t="n">
        <v>4307</v>
      </c>
    </row>
    <row r="443" customFormat="false" ht="15" hidden="false" customHeight="false" outlineLevel="0" collapsed="false">
      <c r="A443" s="16" t="s">
        <v>509</v>
      </c>
      <c r="B443" s="17" t="n">
        <v>45901</v>
      </c>
      <c r="C443" s="17" t="n">
        <v>45908</v>
      </c>
      <c r="D443" s="16" t="s">
        <v>32</v>
      </c>
      <c r="E443" s="16" t="s">
        <v>26</v>
      </c>
      <c r="F443" s="16" t="s">
        <v>55</v>
      </c>
      <c r="G443" s="16" t="s">
        <v>56</v>
      </c>
      <c r="H443" s="16" t="s">
        <v>29</v>
      </c>
      <c r="I443" s="16" t="s">
        <v>107</v>
      </c>
      <c r="J443" s="16" t="n">
        <v>12</v>
      </c>
      <c r="K443" s="18" t="n">
        <v>0.3</v>
      </c>
      <c r="L443" s="19" t="n">
        <v>139979.43</v>
      </c>
      <c r="M443" s="19" t="n">
        <v>-30432.16</v>
      </c>
    </row>
    <row r="444" customFormat="false" ht="15" hidden="false" customHeight="false" outlineLevel="0" collapsed="false">
      <c r="A444" s="16" t="s">
        <v>510</v>
      </c>
      <c r="B444" s="17" t="n">
        <v>45562</v>
      </c>
      <c r="C444" s="17" t="n">
        <v>45569</v>
      </c>
      <c r="D444" s="16" t="s">
        <v>32</v>
      </c>
      <c r="E444" s="16" t="s">
        <v>48</v>
      </c>
      <c r="F444" s="16" t="s">
        <v>27</v>
      </c>
      <c r="G444" s="16" t="s">
        <v>33</v>
      </c>
      <c r="H444" s="16" t="s">
        <v>29</v>
      </c>
      <c r="I444" s="16" t="s">
        <v>78</v>
      </c>
      <c r="J444" s="16" t="n">
        <v>5</v>
      </c>
      <c r="K444" s="18" t="n">
        <v>0.15</v>
      </c>
      <c r="L444" s="19" t="n">
        <v>55055.03</v>
      </c>
      <c r="M444" s="19" t="n">
        <v>-1217.79</v>
      </c>
    </row>
    <row r="445" customFormat="false" ht="15" hidden="false" customHeight="false" outlineLevel="0" collapsed="false">
      <c r="A445" s="16" t="s">
        <v>511</v>
      </c>
      <c r="B445" s="17" t="n">
        <v>46014</v>
      </c>
      <c r="C445" s="17" t="n">
        <v>46018</v>
      </c>
      <c r="D445" s="16" t="s">
        <v>47</v>
      </c>
      <c r="E445" s="16" t="s">
        <v>26</v>
      </c>
      <c r="F445" s="16" t="s">
        <v>27</v>
      </c>
      <c r="G445" s="16" t="s">
        <v>33</v>
      </c>
      <c r="H445" s="16" t="s">
        <v>44</v>
      </c>
      <c r="I445" s="16" t="s">
        <v>80</v>
      </c>
      <c r="J445" s="16" t="n">
        <v>8</v>
      </c>
      <c r="K445" s="18" t="n">
        <v>0</v>
      </c>
      <c r="L445" s="19" t="n">
        <v>8123.98</v>
      </c>
      <c r="M445" s="19" t="n">
        <v>-1556.4</v>
      </c>
    </row>
    <row r="446" customFormat="false" ht="15" hidden="false" customHeight="false" outlineLevel="0" collapsed="false">
      <c r="A446" s="16" t="s">
        <v>512</v>
      </c>
      <c r="B446" s="17" t="n">
        <v>45836</v>
      </c>
      <c r="C446" s="17" t="n">
        <v>45842</v>
      </c>
      <c r="D446" s="16" t="s">
        <v>47</v>
      </c>
      <c r="E446" s="16" t="s">
        <v>48</v>
      </c>
      <c r="F446" s="16" t="s">
        <v>37</v>
      </c>
      <c r="G446" s="16" t="s">
        <v>43</v>
      </c>
      <c r="H446" s="16" t="s">
        <v>44</v>
      </c>
      <c r="I446" s="16" t="s">
        <v>50</v>
      </c>
      <c r="J446" s="16" t="n">
        <v>2</v>
      </c>
      <c r="K446" s="18" t="n">
        <v>0.15</v>
      </c>
      <c r="L446" s="19" t="n">
        <v>3049.99</v>
      </c>
      <c r="M446" s="19" t="n">
        <v>581.29</v>
      </c>
    </row>
    <row r="447" customFormat="false" ht="15" hidden="false" customHeight="false" outlineLevel="0" collapsed="false">
      <c r="A447" s="16" t="s">
        <v>513</v>
      </c>
      <c r="B447" s="17" t="n">
        <v>45894</v>
      </c>
      <c r="C447" s="17" t="n">
        <v>45901</v>
      </c>
      <c r="D447" s="16" t="s">
        <v>25</v>
      </c>
      <c r="E447" s="16" t="s">
        <v>42</v>
      </c>
      <c r="F447" s="16" t="s">
        <v>27</v>
      </c>
      <c r="G447" s="16" t="s">
        <v>73</v>
      </c>
      <c r="H447" s="16" t="s">
        <v>29</v>
      </c>
      <c r="I447" s="16" t="s">
        <v>30</v>
      </c>
      <c r="J447" s="16" t="n">
        <v>11</v>
      </c>
      <c r="K447" s="18" t="n">
        <v>0</v>
      </c>
      <c r="L447" s="19" t="n">
        <v>24144.47</v>
      </c>
      <c r="M447" s="19" t="n">
        <v>3894.5</v>
      </c>
    </row>
    <row r="448" customFormat="false" ht="15" hidden="false" customHeight="false" outlineLevel="0" collapsed="false">
      <c r="A448" s="16" t="s">
        <v>514</v>
      </c>
      <c r="B448" s="17" t="n">
        <v>45651</v>
      </c>
      <c r="C448" s="17" t="n">
        <v>45653</v>
      </c>
      <c r="D448" s="16" t="s">
        <v>25</v>
      </c>
      <c r="E448" s="16" t="s">
        <v>26</v>
      </c>
      <c r="F448" s="16" t="s">
        <v>37</v>
      </c>
      <c r="G448" s="16" t="s">
        <v>49</v>
      </c>
      <c r="H448" s="16" t="s">
        <v>34</v>
      </c>
      <c r="I448" s="16" t="s">
        <v>57</v>
      </c>
      <c r="J448" s="16" t="n">
        <v>10</v>
      </c>
      <c r="K448" s="18" t="n">
        <v>0.15</v>
      </c>
      <c r="L448" s="19" t="n">
        <v>339247.09</v>
      </c>
      <c r="M448" s="19" t="n">
        <v>108658.6</v>
      </c>
    </row>
    <row r="449" customFormat="false" ht="15" hidden="false" customHeight="false" outlineLevel="0" collapsed="false">
      <c r="A449" s="16" t="s">
        <v>515</v>
      </c>
      <c r="B449" s="17" t="n">
        <v>45945</v>
      </c>
      <c r="C449" s="17" t="n">
        <v>45946</v>
      </c>
      <c r="D449" s="16" t="s">
        <v>41</v>
      </c>
      <c r="E449" s="16" t="s">
        <v>48</v>
      </c>
      <c r="F449" s="16" t="s">
        <v>59</v>
      </c>
      <c r="G449" s="16" t="s">
        <v>66</v>
      </c>
      <c r="H449" s="16" t="s">
        <v>34</v>
      </c>
      <c r="I449" s="16" t="s">
        <v>35</v>
      </c>
      <c r="J449" s="16" t="n">
        <v>2</v>
      </c>
      <c r="K449" s="18" t="n">
        <v>0</v>
      </c>
      <c r="L449" s="19" t="n">
        <v>57633.8</v>
      </c>
      <c r="M449" s="19" t="n">
        <v>7680.76</v>
      </c>
    </row>
    <row r="450" customFormat="false" ht="15" hidden="false" customHeight="false" outlineLevel="0" collapsed="false">
      <c r="A450" s="16" t="s">
        <v>516</v>
      </c>
      <c r="B450" s="17" t="n">
        <v>45575</v>
      </c>
      <c r="C450" s="17" t="n">
        <v>45582</v>
      </c>
      <c r="D450" s="16" t="s">
        <v>25</v>
      </c>
      <c r="E450" s="16" t="s">
        <v>26</v>
      </c>
      <c r="F450" s="16" t="s">
        <v>37</v>
      </c>
      <c r="G450" s="16" t="s">
        <v>43</v>
      </c>
      <c r="H450" s="16" t="s">
        <v>44</v>
      </c>
      <c r="I450" s="16" t="s">
        <v>63</v>
      </c>
      <c r="J450" s="16" t="n">
        <v>5</v>
      </c>
      <c r="K450" s="18" t="n">
        <v>0</v>
      </c>
      <c r="L450" s="19" t="n">
        <v>6050.59</v>
      </c>
      <c r="M450" s="19" t="n">
        <v>-575.15</v>
      </c>
    </row>
    <row r="451" customFormat="false" ht="15" hidden="false" customHeight="false" outlineLevel="0" collapsed="false">
      <c r="A451" s="16" t="s">
        <v>517</v>
      </c>
      <c r="B451" s="17" t="n">
        <v>45563</v>
      </c>
      <c r="C451" s="17" t="n">
        <v>45565</v>
      </c>
      <c r="D451" s="16" t="s">
        <v>32</v>
      </c>
      <c r="E451" s="16" t="s">
        <v>42</v>
      </c>
      <c r="F451" s="16" t="s">
        <v>55</v>
      </c>
      <c r="G451" s="16" t="s">
        <v>69</v>
      </c>
      <c r="H451" s="16" t="s">
        <v>44</v>
      </c>
      <c r="I451" s="16" t="s">
        <v>45</v>
      </c>
      <c r="J451" s="16" t="n">
        <v>3</v>
      </c>
      <c r="K451" s="18" t="n">
        <v>0.4</v>
      </c>
      <c r="L451" s="19" t="n">
        <v>746.01</v>
      </c>
      <c r="M451" s="19" t="n">
        <v>-88.75</v>
      </c>
    </row>
    <row r="452" customFormat="false" ht="15" hidden="false" customHeight="false" outlineLevel="0" collapsed="false">
      <c r="A452" s="16" t="s">
        <v>518</v>
      </c>
      <c r="B452" s="17" t="n">
        <v>45950</v>
      </c>
      <c r="C452" s="17" t="n">
        <v>45951</v>
      </c>
      <c r="D452" s="16" t="s">
        <v>25</v>
      </c>
      <c r="E452" s="16" t="s">
        <v>26</v>
      </c>
      <c r="F452" s="16" t="s">
        <v>37</v>
      </c>
      <c r="G452" s="16" t="s">
        <v>38</v>
      </c>
      <c r="H452" s="16" t="s">
        <v>44</v>
      </c>
      <c r="I452" s="16" t="s">
        <v>63</v>
      </c>
      <c r="J452" s="16" t="n">
        <v>2</v>
      </c>
      <c r="K452" s="18" t="n">
        <v>0.5</v>
      </c>
      <c r="L452" s="19" t="n">
        <v>826.73</v>
      </c>
      <c r="M452" s="19" t="n">
        <v>-132.85</v>
      </c>
    </row>
    <row r="453" customFormat="false" ht="15" hidden="false" customHeight="false" outlineLevel="0" collapsed="false">
      <c r="A453" s="16" t="s">
        <v>519</v>
      </c>
      <c r="B453" s="17" t="n">
        <v>45947</v>
      </c>
      <c r="C453" s="17" t="n">
        <v>45948</v>
      </c>
      <c r="D453" s="16" t="s">
        <v>47</v>
      </c>
      <c r="E453" s="16" t="s">
        <v>42</v>
      </c>
      <c r="F453" s="16" t="s">
        <v>37</v>
      </c>
      <c r="G453" s="16" t="s">
        <v>49</v>
      </c>
      <c r="H453" s="16" t="s">
        <v>29</v>
      </c>
      <c r="I453" s="16" t="s">
        <v>107</v>
      </c>
      <c r="J453" s="16" t="n">
        <v>7</v>
      </c>
      <c r="K453" s="18" t="n">
        <v>0.5</v>
      </c>
      <c r="L453" s="19" t="n">
        <v>53258.54</v>
      </c>
      <c r="M453" s="19" t="n">
        <v>1964.37</v>
      </c>
    </row>
    <row r="454" customFormat="false" ht="15" hidden="false" customHeight="false" outlineLevel="0" collapsed="false">
      <c r="A454" s="16" t="s">
        <v>520</v>
      </c>
      <c r="B454" s="17" t="n">
        <v>45705</v>
      </c>
      <c r="C454" s="17" t="n">
        <v>45712</v>
      </c>
      <c r="D454" s="16" t="s">
        <v>32</v>
      </c>
      <c r="E454" s="16" t="s">
        <v>48</v>
      </c>
      <c r="F454" s="16" t="s">
        <v>27</v>
      </c>
      <c r="G454" s="16" t="s">
        <v>82</v>
      </c>
      <c r="H454" s="16" t="s">
        <v>34</v>
      </c>
      <c r="I454" s="16" t="s">
        <v>35</v>
      </c>
      <c r="J454" s="16" t="n">
        <v>2</v>
      </c>
      <c r="K454" s="18" t="n">
        <v>0.2</v>
      </c>
      <c r="L454" s="19" t="n">
        <v>35994.76</v>
      </c>
      <c r="M454" s="19" t="n">
        <v>-346.67</v>
      </c>
    </row>
    <row r="455" customFormat="false" ht="15" hidden="false" customHeight="false" outlineLevel="0" collapsed="false">
      <c r="A455" s="16" t="s">
        <v>521</v>
      </c>
      <c r="B455" s="17" t="n">
        <v>45939</v>
      </c>
      <c r="C455" s="17" t="n">
        <v>45945</v>
      </c>
      <c r="D455" s="16" t="s">
        <v>47</v>
      </c>
      <c r="E455" s="16" t="s">
        <v>48</v>
      </c>
      <c r="F455" s="16" t="s">
        <v>37</v>
      </c>
      <c r="G455" s="16" t="s">
        <v>38</v>
      </c>
      <c r="H455" s="16" t="s">
        <v>29</v>
      </c>
      <c r="I455" s="16" t="s">
        <v>30</v>
      </c>
      <c r="J455" s="16" t="n">
        <v>11</v>
      </c>
      <c r="K455" s="18" t="n">
        <v>0.15</v>
      </c>
      <c r="L455" s="19" t="n">
        <v>62381.06</v>
      </c>
      <c r="M455" s="19" t="n">
        <v>-4408.96</v>
      </c>
    </row>
    <row r="456" customFormat="false" ht="15" hidden="false" customHeight="false" outlineLevel="0" collapsed="false">
      <c r="A456" s="16" t="s">
        <v>522</v>
      </c>
      <c r="B456" s="17" t="n">
        <v>45691</v>
      </c>
      <c r="C456" s="17" t="n">
        <v>45692</v>
      </c>
      <c r="D456" s="16" t="s">
        <v>32</v>
      </c>
      <c r="E456" s="16" t="s">
        <v>42</v>
      </c>
      <c r="F456" s="16" t="s">
        <v>55</v>
      </c>
      <c r="G456" s="16" t="s">
        <v>96</v>
      </c>
      <c r="H456" s="16" t="s">
        <v>34</v>
      </c>
      <c r="I456" s="16" t="s">
        <v>57</v>
      </c>
      <c r="J456" s="16" t="n">
        <v>12</v>
      </c>
      <c r="K456" s="18" t="n">
        <v>0.15</v>
      </c>
      <c r="L456" s="19" t="n">
        <v>30435.06</v>
      </c>
      <c r="M456" s="19" t="n">
        <v>1325.13</v>
      </c>
    </row>
    <row r="457" customFormat="false" ht="15" hidden="false" customHeight="false" outlineLevel="0" collapsed="false">
      <c r="A457" s="16" t="s">
        <v>523</v>
      </c>
      <c r="B457" s="17" t="n">
        <v>45356</v>
      </c>
      <c r="C457" s="17" t="n">
        <v>45363</v>
      </c>
      <c r="D457" s="16" t="s">
        <v>25</v>
      </c>
      <c r="E457" s="16" t="s">
        <v>26</v>
      </c>
      <c r="F457" s="16" t="s">
        <v>55</v>
      </c>
      <c r="G457" s="16" t="s">
        <v>56</v>
      </c>
      <c r="H457" s="16" t="s">
        <v>34</v>
      </c>
      <c r="I457" s="16" t="s">
        <v>57</v>
      </c>
      <c r="J457" s="16" t="n">
        <v>6</v>
      </c>
      <c r="K457" s="18" t="n">
        <v>0</v>
      </c>
      <c r="L457" s="19" t="n">
        <v>24027.9</v>
      </c>
      <c r="M457" s="19" t="n">
        <v>-2955.27</v>
      </c>
    </row>
    <row r="458" customFormat="false" ht="15" hidden="false" customHeight="false" outlineLevel="0" collapsed="false">
      <c r="A458" s="16" t="s">
        <v>524</v>
      </c>
      <c r="B458" s="17" t="n">
        <v>45961</v>
      </c>
      <c r="C458" s="17" t="n">
        <v>45967</v>
      </c>
      <c r="D458" s="16" t="s">
        <v>25</v>
      </c>
      <c r="E458" s="16" t="s">
        <v>26</v>
      </c>
      <c r="F458" s="16" t="s">
        <v>27</v>
      </c>
      <c r="G458" s="16" t="s">
        <v>28</v>
      </c>
      <c r="H458" s="16" t="s">
        <v>34</v>
      </c>
      <c r="I458" s="16" t="s">
        <v>61</v>
      </c>
      <c r="J458" s="16" t="n">
        <v>12</v>
      </c>
      <c r="K458" s="18" t="n">
        <v>0</v>
      </c>
      <c r="L458" s="19" t="n">
        <v>348796.18</v>
      </c>
      <c r="M458" s="19" t="n">
        <v>-36411</v>
      </c>
    </row>
    <row r="459" customFormat="false" ht="15" hidden="false" customHeight="false" outlineLevel="0" collapsed="false">
      <c r="A459" s="16" t="s">
        <v>525</v>
      </c>
      <c r="B459" s="17" t="n">
        <v>45956</v>
      </c>
      <c r="C459" s="17" t="n">
        <v>45958</v>
      </c>
      <c r="D459" s="16" t="s">
        <v>32</v>
      </c>
      <c r="E459" s="16" t="s">
        <v>26</v>
      </c>
      <c r="F459" s="16" t="s">
        <v>59</v>
      </c>
      <c r="G459" s="16" t="s">
        <v>71</v>
      </c>
      <c r="H459" s="16" t="s">
        <v>29</v>
      </c>
      <c r="I459" s="16" t="s">
        <v>39</v>
      </c>
      <c r="J459" s="16" t="n">
        <v>10</v>
      </c>
      <c r="K459" s="18" t="n">
        <v>0</v>
      </c>
      <c r="L459" s="19" t="n">
        <v>59258.56</v>
      </c>
      <c r="M459" s="19" t="n">
        <v>-10754.97</v>
      </c>
    </row>
    <row r="460" customFormat="false" ht="15" hidden="false" customHeight="false" outlineLevel="0" collapsed="false">
      <c r="A460" s="16" t="s">
        <v>526</v>
      </c>
      <c r="B460" s="17" t="n">
        <v>45901</v>
      </c>
      <c r="C460" s="17" t="n">
        <v>45908</v>
      </c>
      <c r="D460" s="16" t="s">
        <v>47</v>
      </c>
      <c r="E460" s="16" t="s">
        <v>48</v>
      </c>
      <c r="F460" s="16" t="s">
        <v>59</v>
      </c>
      <c r="G460" s="16" t="s">
        <v>66</v>
      </c>
      <c r="H460" s="16" t="s">
        <v>34</v>
      </c>
      <c r="I460" s="16" t="s">
        <v>52</v>
      </c>
      <c r="J460" s="16" t="n">
        <v>12</v>
      </c>
      <c r="K460" s="18" t="n">
        <v>0.1</v>
      </c>
      <c r="L460" s="19" t="n">
        <v>632744.1</v>
      </c>
      <c r="M460" s="19" t="n">
        <v>-36095.56</v>
      </c>
    </row>
    <row r="461" customFormat="false" ht="15" hidden="false" customHeight="false" outlineLevel="0" collapsed="false">
      <c r="A461" s="16" t="s">
        <v>527</v>
      </c>
      <c r="B461" s="17" t="n">
        <v>45510</v>
      </c>
      <c r="C461" s="17" t="n">
        <v>45517</v>
      </c>
      <c r="D461" s="16" t="s">
        <v>47</v>
      </c>
      <c r="E461" s="16" t="s">
        <v>26</v>
      </c>
      <c r="F461" s="16" t="s">
        <v>37</v>
      </c>
      <c r="G461" s="16" t="s">
        <v>38</v>
      </c>
      <c r="H461" s="16" t="s">
        <v>29</v>
      </c>
      <c r="I461" s="16" t="s">
        <v>39</v>
      </c>
      <c r="J461" s="16" t="n">
        <v>3</v>
      </c>
      <c r="K461" s="18" t="n">
        <v>0.1</v>
      </c>
      <c r="L461" s="19" t="n">
        <v>52443.86</v>
      </c>
      <c r="M461" s="19" t="n">
        <v>692.09</v>
      </c>
    </row>
    <row r="462" customFormat="false" ht="15" hidden="false" customHeight="false" outlineLevel="0" collapsed="false">
      <c r="A462" s="16" t="s">
        <v>528</v>
      </c>
      <c r="B462" s="17" t="n">
        <v>45887</v>
      </c>
      <c r="C462" s="17" t="n">
        <v>45888</v>
      </c>
      <c r="D462" s="16" t="s">
        <v>32</v>
      </c>
      <c r="E462" s="16" t="s">
        <v>26</v>
      </c>
      <c r="F462" s="16" t="s">
        <v>55</v>
      </c>
      <c r="G462" s="16" t="s">
        <v>69</v>
      </c>
      <c r="H462" s="16" t="s">
        <v>29</v>
      </c>
      <c r="I462" s="16" t="s">
        <v>78</v>
      </c>
      <c r="J462" s="16" t="n">
        <v>2</v>
      </c>
      <c r="K462" s="18" t="n">
        <v>0.2</v>
      </c>
      <c r="L462" s="19" t="n">
        <v>3433.66</v>
      </c>
      <c r="M462" s="19" t="n">
        <v>-0.92</v>
      </c>
    </row>
    <row r="463" customFormat="false" ht="15" hidden="false" customHeight="false" outlineLevel="0" collapsed="false">
      <c r="A463" s="16" t="s">
        <v>529</v>
      </c>
      <c r="B463" s="17" t="n">
        <v>45779</v>
      </c>
      <c r="C463" s="17" t="n">
        <v>45785</v>
      </c>
      <c r="D463" s="16" t="s">
        <v>32</v>
      </c>
      <c r="E463" s="16" t="s">
        <v>42</v>
      </c>
      <c r="F463" s="16" t="s">
        <v>27</v>
      </c>
      <c r="G463" s="16" t="s">
        <v>73</v>
      </c>
      <c r="H463" s="16" t="s">
        <v>29</v>
      </c>
      <c r="I463" s="16" t="s">
        <v>39</v>
      </c>
      <c r="J463" s="16" t="n">
        <v>7</v>
      </c>
      <c r="K463" s="18" t="n">
        <v>0.1</v>
      </c>
      <c r="L463" s="19" t="n">
        <v>47267.87</v>
      </c>
      <c r="M463" s="19" t="n">
        <v>8523.31</v>
      </c>
    </row>
    <row r="464" customFormat="false" ht="15" hidden="false" customHeight="false" outlineLevel="0" collapsed="false">
      <c r="A464" s="16" t="s">
        <v>530</v>
      </c>
      <c r="B464" s="17" t="n">
        <v>45918</v>
      </c>
      <c r="C464" s="17" t="n">
        <v>45919</v>
      </c>
      <c r="D464" s="16" t="s">
        <v>41</v>
      </c>
      <c r="E464" s="16" t="s">
        <v>26</v>
      </c>
      <c r="F464" s="16" t="s">
        <v>37</v>
      </c>
      <c r="G464" s="16" t="s">
        <v>91</v>
      </c>
      <c r="H464" s="16" t="s">
        <v>34</v>
      </c>
      <c r="I464" s="16" t="s">
        <v>57</v>
      </c>
      <c r="J464" s="16" t="n">
        <v>4</v>
      </c>
      <c r="K464" s="18" t="n">
        <v>0.3</v>
      </c>
      <c r="L464" s="19" t="n">
        <v>19873.02</v>
      </c>
      <c r="M464" s="19" t="n">
        <v>5318.79</v>
      </c>
    </row>
    <row r="465" customFormat="false" ht="15" hidden="false" customHeight="false" outlineLevel="0" collapsed="false">
      <c r="A465" s="16" t="s">
        <v>531</v>
      </c>
      <c r="B465" s="17" t="n">
        <v>45844</v>
      </c>
      <c r="C465" s="17" t="n">
        <v>45849</v>
      </c>
      <c r="D465" s="16" t="s">
        <v>41</v>
      </c>
      <c r="E465" s="16" t="s">
        <v>26</v>
      </c>
      <c r="F465" s="16" t="s">
        <v>27</v>
      </c>
      <c r="G465" s="16" t="s">
        <v>73</v>
      </c>
      <c r="H465" s="16" t="s">
        <v>29</v>
      </c>
      <c r="I465" s="16" t="s">
        <v>107</v>
      </c>
      <c r="J465" s="16" t="n">
        <v>2</v>
      </c>
      <c r="K465" s="18" t="n">
        <v>0.5</v>
      </c>
      <c r="L465" s="19" t="n">
        <v>20322.1</v>
      </c>
      <c r="M465" s="19" t="n">
        <v>985.8</v>
      </c>
    </row>
    <row r="466" customFormat="false" ht="15" hidden="false" customHeight="false" outlineLevel="0" collapsed="false">
      <c r="A466" s="16" t="s">
        <v>532</v>
      </c>
      <c r="B466" s="17" t="n">
        <v>45455</v>
      </c>
      <c r="C466" s="17" t="n">
        <v>45461</v>
      </c>
      <c r="D466" s="16" t="s">
        <v>32</v>
      </c>
      <c r="E466" s="16" t="s">
        <v>26</v>
      </c>
      <c r="F466" s="16" t="s">
        <v>37</v>
      </c>
      <c r="G466" s="16" t="s">
        <v>43</v>
      </c>
      <c r="H466" s="16" t="s">
        <v>29</v>
      </c>
      <c r="I466" s="16" t="s">
        <v>78</v>
      </c>
      <c r="J466" s="16" t="n">
        <v>5</v>
      </c>
      <c r="K466" s="18" t="n">
        <v>0</v>
      </c>
      <c r="L466" s="19" t="n">
        <v>48443.88</v>
      </c>
      <c r="M466" s="19" t="n">
        <v>-9075.83</v>
      </c>
    </row>
    <row r="467" customFormat="false" ht="15" hidden="false" customHeight="false" outlineLevel="0" collapsed="false">
      <c r="A467" s="16" t="s">
        <v>533</v>
      </c>
      <c r="B467" s="17" t="n">
        <v>45345</v>
      </c>
      <c r="C467" s="17" t="n">
        <v>45350</v>
      </c>
      <c r="D467" s="16" t="s">
        <v>25</v>
      </c>
      <c r="E467" s="16" t="s">
        <v>42</v>
      </c>
      <c r="F467" s="16" t="s">
        <v>59</v>
      </c>
      <c r="G467" s="16" t="s">
        <v>60</v>
      </c>
      <c r="H467" s="16" t="s">
        <v>29</v>
      </c>
      <c r="I467" s="16" t="s">
        <v>39</v>
      </c>
      <c r="J467" s="16" t="n">
        <v>2</v>
      </c>
      <c r="K467" s="18" t="n">
        <v>0.3</v>
      </c>
      <c r="L467" s="19" t="n">
        <v>31621.55</v>
      </c>
      <c r="M467" s="19" t="n">
        <v>45.53</v>
      </c>
    </row>
    <row r="468" customFormat="false" ht="15" hidden="false" customHeight="false" outlineLevel="0" collapsed="false">
      <c r="A468" s="16" t="s">
        <v>534</v>
      </c>
      <c r="B468" s="17" t="n">
        <v>45985</v>
      </c>
      <c r="C468" s="17" t="n">
        <v>45988</v>
      </c>
      <c r="D468" s="16" t="s">
        <v>41</v>
      </c>
      <c r="E468" s="16" t="s">
        <v>26</v>
      </c>
      <c r="F468" s="16" t="s">
        <v>37</v>
      </c>
      <c r="G468" s="16" t="s">
        <v>49</v>
      </c>
      <c r="H468" s="16" t="s">
        <v>29</v>
      </c>
      <c r="I468" s="16" t="s">
        <v>78</v>
      </c>
      <c r="J468" s="16" t="n">
        <v>12</v>
      </c>
      <c r="K468" s="18" t="n">
        <v>0</v>
      </c>
      <c r="L468" s="19" t="n">
        <v>137876.35</v>
      </c>
      <c r="M468" s="19" t="n">
        <v>4493.96</v>
      </c>
    </row>
    <row r="469" customFormat="false" ht="15" hidden="false" customHeight="false" outlineLevel="0" collapsed="false">
      <c r="A469" s="16" t="s">
        <v>535</v>
      </c>
      <c r="B469" s="17" t="n">
        <v>45788</v>
      </c>
      <c r="C469" s="17" t="n">
        <v>45789</v>
      </c>
      <c r="D469" s="16" t="s">
        <v>32</v>
      </c>
      <c r="E469" s="16" t="s">
        <v>26</v>
      </c>
      <c r="F469" s="16" t="s">
        <v>27</v>
      </c>
      <c r="G469" s="16" t="s">
        <v>33</v>
      </c>
      <c r="H469" s="16" t="s">
        <v>44</v>
      </c>
      <c r="I469" s="16" t="s">
        <v>67</v>
      </c>
      <c r="J469" s="16" t="n">
        <v>6</v>
      </c>
      <c r="K469" s="18" t="n">
        <v>0.2</v>
      </c>
      <c r="L469" s="19" t="n">
        <v>10499.91</v>
      </c>
      <c r="M469" s="19" t="n">
        <v>-1351.06</v>
      </c>
    </row>
    <row r="470" customFormat="false" ht="15" hidden="false" customHeight="false" outlineLevel="0" collapsed="false">
      <c r="A470" s="16" t="s">
        <v>536</v>
      </c>
      <c r="B470" s="17" t="n">
        <v>45422</v>
      </c>
      <c r="C470" s="17" t="n">
        <v>45423</v>
      </c>
      <c r="D470" s="16" t="s">
        <v>32</v>
      </c>
      <c r="E470" s="16" t="s">
        <v>26</v>
      </c>
      <c r="F470" s="16" t="s">
        <v>37</v>
      </c>
      <c r="G470" s="16" t="s">
        <v>49</v>
      </c>
      <c r="H470" s="16" t="s">
        <v>34</v>
      </c>
      <c r="I470" s="16" t="s">
        <v>35</v>
      </c>
      <c r="J470" s="16" t="n">
        <v>8</v>
      </c>
      <c r="K470" s="18" t="n">
        <v>0.2</v>
      </c>
      <c r="L470" s="19" t="n">
        <v>91913.17</v>
      </c>
      <c r="M470" s="19" t="n">
        <v>10310.97</v>
      </c>
    </row>
    <row r="471" customFormat="false" ht="15" hidden="false" customHeight="false" outlineLevel="0" collapsed="false">
      <c r="A471" s="16" t="s">
        <v>537</v>
      </c>
      <c r="B471" s="17" t="n">
        <v>45945</v>
      </c>
      <c r="C471" s="17" t="n">
        <v>45950</v>
      </c>
      <c r="D471" s="16" t="s">
        <v>32</v>
      </c>
      <c r="E471" s="16" t="s">
        <v>42</v>
      </c>
      <c r="F471" s="16" t="s">
        <v>59</v>
      </c>
      <c r="G471" s="16" t="s">
        <v>60</v>
      </c>
      <c r="H471" s="16" t="s">
        <v>29</v>
      </c>
      <c r="I471" s="16" t="s">
        <v>39</v>
      </c>
      <c r="J471" s="16" t="n">
        <v>4</v>
      </c>
      <c r="K471" s="18" t="n">
        <v>0.4</v>
      </c>
      <c r="L471" s="19" t="n">
        <v>37455.26</v>
      </c>
      <c r="M471" s="19" t="n">
        <v>7180.45</v>
      </c>
    </row>
    <row r="472" customFormat="false" ht="15" hidden="false" customHeight="false" outlineLevel="0" collapsed="false">
      <c r="A472" s="16" t="s">
        <v>538</v>
      </c>
      <c r="B472" s="17" t="n">
        <v>45544</v>
      </c>
      <c r="C472" s="17" t="n">
        <v>45546</v>
      </c>
      <c r="D472" s="16" t="s">
        <v>25</v>
      </c>
      <c r="E472" s="16" t="s">
        <v>42</v>
      </c>
      <c r="F472" s="16" t="s">
        <v>27</v>
      </c>
      <c r="G472" s="16" t="s">
        <v>28</v>
      </c>
      <c r="H472" s="16" t="s">
        <v>44</v>
      </c>
      <c r="I472" s="16" t="s">
        <v>50</v>
      </c>
      <c r="J472" s="16" t="n">
        <v>7</v>
      </c>
      <c r="K472" s="18" t="n">
        <v>0</v>
      </c>
      <c r="L472" s="19" t="n">
        <v>1513.19</v>
      </c>
      <c r="M472" s="19" t="n">
        <v>8.2</v>
      </c>
    </row>
    <row r="473" customFormat="false" ht="15" hidden="false" customHeight="false" outlineLevel="0" collapsed="false">
      <c r="A473" s="16" t="s">
        <v>539</v>
      </c>
      <c r="B473" s="17" t="n">
        <v>45695</v>
      </c>
      <c r="C473" s="17" t="n">
        <v>45699</v>
      </c>
      <c r="D473" s="16" t="s">
        <v>25</v>
      </c>
      <c r="E473" s="16" t="s">
        <v>26</v>
      </c>
      <c r="F473" s="16" t="s">
        <v>55</v>
      </c>
      <c r="G473" s="16" t="s">
        <v>56</v>
      </c>
      <c r="H473" s="16" t="s">
        <v>34</v>
      </c>
      <c r="I473" s="16" t="s">
        <v>35</v>
      </c>
      <c r="J473" s="16" t="n">
        <v>9</v>
      </c>
      <c r="K473" s="18" t="n">
        <v>0.15</v>
      </c>
      <c r="L473" s="19" t="n">
        <v>193446.76</v>
      </c>
      <c r="M473" s="19" t="n">
        <v>-32958.07</v>
      </c>
    </row>
    <row r="474" customFormat="false" ht="15" hidden="false" customHeight="false" outlineLevel="0" collapsed="false">
      <c r="A474" s="16" t="s">
        <v>540</v>
      </c>
      <c r="B474" s="17" t="n">
        <v>45594</v>
      </c>
      <c r="C474" s="17" t="n">
        <v>45596</v>
      </c>
      <c r="D474" s="16" t="s">
        <v>47</v>
      </c>
      <c r="E474" s="16" t="s">
        <v>42</v>
      </c>
      <c r="F474" s="16" t="s">
        <v>59</v>
      </c>
      <c r="G474" s="16" t="s">
        <v>60</v>
      </c>
      <c r="H474" s="16" t="s">
        <v>34</v>
      </c>
      <c r="I474" s="16" t="s">
        <v>35</v>
      </c>
      <c r="J474" s="16" t="n">
        <v>3</v>
      </c>
      <c r="K474" s="18" t="n">
        <v>0</v>
      </c>
      <c r="L474" s="19" t="n">
        <v>135648.82</v>
      </c>
      <c r="M474" s="19" t="n">
        <v>45557.99</v>
      </c>
    </row>
    <row r="475" customFormat="false" ht="15" hidden="false" customHeight="false" outlineLevel="0" collapsed="false">
      <c r="A475" s="16" t="s">
        <v>541</v>
      </c>
      <c r="B475" s="17" t="n">
        <v>45766</v>
      </c>
      <c r="C475" s="17" t="n">
        <v>45773</v>
      </c>
      <c r="D475" s="16" t="s">
        <v>32</v>
      </c>
      <c r="E475" s="16" t="s">
        <v>42</v>
      </c>
      <c r="F475" s="16" t="s">
        <v>27</v>
      </c>
      <c r="G475" s="16" t="s">
        <v>73</v>
      </c>
      <c r="H475" s="16" t="s">
        <v>29</v>
      </c>
      <c r="I475" s="16" t="s">
        <v>107</v>
      </c>
      <c r="J475" s="16" t="n">
        <v>12</v>
      </c>
      <c r="K475" s="18" t="n">
        <v>0.3</v>
      </c>
      <c r="L475" s="19" t="n">
        <v>139173.32</v>
      </c>
      <c r="M475" s="19" t="n">
        <v>9540.64</v>
      </c>
    </row>
    <row r="476" customFormat="false" ht="15" hidden="false" customHeight="false" outlineLevel="0" collapsed="false">
      <c r="A476" s="16" t="s">
        <v>542</v>
      </c>
      <c r="B476" s="17" t="n">
        <v>45595</v>
      </c>
      <c r="C476" s="17" t="n">
        <v>45599</v>
      </c>
      <c r="D476" s="16" t="s">
        <v>47</v>
      </c>
      <c r="E476" s="16" t="s">
        <v>42</v>
      </c>
      <c r="F476" s="16" t="s">
        <v>27</v>
      </c>
      <c r="G476" s="16" t="s">
        <v>82</v>
      </c>
      <c r="H476" s="16" t="s">
        <v>44</v>
      </c>
      <c r="I476" s="16" t="s">
        <v>63</v>
      </c>
      <c r="J476" s="16" t="n">
        <v>12</v>
      </c>
      <c r="K476" s="18" t="n">
        <v>0.3</v>
      </c>
      <c r="L476" s="19" t="n">
        <v>13378.98</v>
      </c>
      <c r="M476" s="19" t="n">
        <v>3783.4</v>
      </c>
    </row>
    <row r="477" customFormat="false" ht="15" hidden="false" customHeight="false" outlineLevel="0" collapsed="false">
      <c r="A477" s="16" t="s">
        <v>543</v>
      </c>
      <c r="B477" s="17" t="n">
        <v>45405</v>
      </c>
      <c r="C477" s="17" t="n">
        <v>45409</v>
      </c>
      <c r="D477" s="16" t="s">
        <v>41</v>
      </c>
      <c r="E477" s="16" t="s">
        <v>48</v>
      </c>
      <c r="F477" s="16" t="s">
        <v>59</v>
      </c>
      <c r="G477" s="16" t="s">
        <v>71</v>
      </c>
      <c r="H477" s="16" t="s">
        <v>44</v>
      </c>
      <c r="I477" s="16" t="s">
        <v>50</v>
      </c>
      <c r="J477" s="16" t="n">
        <v>11</v>
      </c>
      <c r="K477" s="18" t="n">
        <v>0.15</v>
      </c>
      <c r="L477" s="19" t="n">
        <v>2751.87</v>
      </c>
      <c r="M477" s="19" t="n">
        <v>-459.44</v>
      </c>
    </row>
    <row r="478" customFormat="false" ht="15" hidden="false" customHeight="false" outlineLevel="0" collapsed="false">
      <c r="A478" s="16" t="s">
        <v>544</v>
      </c>
      <c r="B478" s="17" t="n">
        <v>45634</v>
      </c>
      <c r="C478" s="17" t="n">
        <v>45636</v>
      </c>
      <c r="D478" s="16" t="s">
        <v>41</v>
      </c>
      <c r="E478" s="16" t="s">
        <v>42</v>
      </c>
      <c r="F478" s="16" t="s">
        <v>55</v>
      </c>
      <c r="G478" s="16" t="s">
        <v>69</v>
      </c>
      <c r="H478" s="16" t="s">
        <v>34</v>
      </c>
      <c r="I478" s="16" t="s">
        <v>35</v>
      </c>
      <c r="J478" s="16" t="n">
        <v>6</v>
      </c>
      <c r="K478" s="18" t="n">
        <v>0.2</v>
      </c>
      <c r="L478" s="19" t="n">
        <v>198207.67</v>
      </c>
      <c r="M478" s="19" t="n">
        <v>-43075.28</v>
      </c>
    </row>
    <row r="479" customFormat="false" ht="15" hidden="false" customHeight="false" outlineLevel="0" collapsed="false">
      <c r="A479" s="16" t="s">
        <v>545</v>
      </c>
      <c r="B479" s="17" t="n">
        <v>45673</v>
      </c>
      <c r="C479" s="17" t="n">
        <v>45676</v>
      </c>
      <c r="D479" s="16" t="s">
        <v>47</v>
      </c>
      <c r="E479" s="16" t="s">
        <v>42</v>
      </c>
      <c r="F479" s="16" t="s">
        <v>59</v>
      </c>
      <c r="G479" s="16" t="s">
        <v>60</v>
      </c>
      <c r="H479" s="16" t="s">
        <v>44</v>
      </c>
      <c r="I479" s="16" t="s">
        <v>50</v>
      </c>
      <c r="J479" s="16" t="n">
        <v>8</v>
      </c>
      <c r="K479" s="18" t="n">
        <v>0</v>
      </c>
      <c r="L479" s="19" t="n">
        <v>19357.77</v>
      </c>
      <c r="M479" s="19" t="n">
        <v>-2651.78</v>
      </c>
    </row>
    <row r="480" customFormat="false" ht="15" hidden="false" customHeight="false" outlineLevel="0" collapsed="false">
      <c r="A480" s="16" t="s">
        <v>546</v>
      </c>
      <c r="B480" s="17" t="n">
        <v>45760</v>
      </c>
      <c r="C480" s="17" t="n">
        <v>45761</v>
      </c>
      <c r="D480" s="16" t="s">
        <v>25</v>
      </c>
      <c r="E480" s="16" t="s">
        <v>26</v>
      </c>
      <c r="F480" s="16" t="s">
        <v>27</v>
      </c>
      <c r="G480" s="16" t="s">
        <v>73</v>
      </c>
      <c r="H480" s="16" t="s">
        <v>29</v>
      </c>
      <c r="I480" s="16" t="s">
        <v>107</v>
      </c>
      <c r="J480" s="16" t="n">
        <v>3</v>
      </c>
      <c r="K480" s="18" t="n">
        <v>0.15</v>
      </c>
      <c r="L480" s="19" t="n">
        <v>21284.04</v>
      </c>
      <c r="M480" s="19" t="n">
        <v>1328.39</v>
      </c>
    </row>
    <row r="481" customFormat="false" ht="15" hidden="false" customHeight="false" outlineLevel="0" collapsed="false">
      <c r="A481" s="16" t="s">
        <v>547</v>
      </c>
      <c r="B481" s="17" t="n">
        <v>45934</v>
      </c>
      <c r="C481" s="17" t="n">
        <v>45935</v>
      </c>
      <c r="D481" s="16" t="s">
        <v>32</v>
      </c>
      <c r="E481" s="16" t="s">
        <v>48</v>
      </c>
      <c r="F481" s="16" t="s">
        <v>27</v>
      </c>
      <c r="G481" s="16" t="s">
        <v>33</v>
      </c>
      <c r="H481" s="16" t="s">
        <v>44</v>
      </c>
      <c r="I481" s="16" t="s">
        <v>50</v>
      </c>
      <c r="J481" s="16" t="n">
        <v>8</v>
      </c>
      <c r="K481" s="18" t="n">
        <v>0</v>
      </c>
      <c r="L481" s="19" t="n">
        <v>1298.39</v>
      </c>
      <c r="M481" s="19" t="n">
        <v>354.56</v>
      </c>
    </row>
    <row r="482" customFormat="false" ht="15" hidden="false" customHeight="false" outlineLevel="0" collapsed="false">
      <c r="A482" s="16" t="s">
        <v>548</v>
      </c>
      <c r="B482" s="17" t="n">
        <v>45529</v>
      </c>
      <c r="C482" s="17" t="n">
        <v>45536</v>
      </c>
      <c r="D482" s="16" t="s">
        <v>47</v>
      </c>
      <c r="E482" s="16" t="s">
        <v>42</v>
      </c>
      <c r="F482" s="16" t="s">
        <v>55</v>
      </c>
      <c r="G482" s="16" t="s">
        <v>86</v>
      </c>
      <c r="H482" s="16" t="s">
        <v>34</v>
      </c>
      <c r="I482" s="16" t="s">
        <v>57</v>
      </c>
      <c r="J482" s="16" t="n">
        <v>8</v>
      </c>
      <c r="K482" s="18" t="n">
        <v>0.5</v>
      </c>
      <c r="L482" s="19" t="n">
        <v>203006.44</v>
      </c>
      <c r="M482" s="19" t="n">
        <v>5035.42</v>
      </c>
    </row>
    <row r="483" customFormat="false" ht="15" hidden="false" customHeight="false" outlineLevel="0" collapsed="false">
      <c r="A483" s="16" t="s">
        <v>549</v>
      </c>
      <c r="B483" s="17" t="n">
        <v>45872</v>
      </c>
      <c r="C483" s="17" t="n">
        <v>45874</v>
      </c>
      <c r="D483" s="16" t="s">
        <v>47</v>
      </c>
      <c r="E483" s="16" t="s">
        <v>48</v>
      </c>
      <c r="F483" s="16" t="s">
        <v>37</v>
      </c>
      <c r="G483" s="16" t="s">
        <v>49</v>
      </c>
      <c r="H483" s="16" t="s">
        <v>44</v>
      </c>
      <c r="I483" s="16" t="s">
        <v>67</v>
      </c>
      <c r="J483" s="16" t="n">
        <v>5</v>
      </c>
      <c r="K483" s="18" t="n">
        <v>0.5</v>
      </c>
      <c r="L483" s="19" t="n">
        <v>593.06</v>
      </c>
      <c r="M483" s="19" t="n">
        <v>191.99</v>
      </c>
    </row>
    <row r="484" customFormat="false" ht="15" hidden="false" customHeight="false" outlineLevel="0" collapsed="false">
      <c r="A484" s="16" t="s">
        <v>550</v>
      </c>
      <c r="B484" s="17" t="n">
        <v>45925</v>
      </c>
      <c r="C484" s="17" t="n">
        <v>45927</v>
      </c>
      <c r="D484" s="16" t="s">
        <v>41</v>
      </c>
      <c r="E484" s="16" t="s">
        <v>42</v>
      </c>
      <c r="F484" s="16" t="s">
        <v>27</v>
      </c>
      <c r="G484" s="16" t="s">
        <v>28</v>
      </c>
      <c r="H484" s="16" t="s">
        <v>34</v>
      </c>
      <c r="I484" s="16" t="s">
        <v>57</v>
      </c>
      <c r="J484" s="16" t="n">
        <v>3</v>
      </c>
      <c r="K484" s="18" t="n">
        <v>0.1</v>
      </c>
      <c r="L484" s="19" t="n">
        <v>54061.05</v>
      </c>
      <c r="M484" s="19" t="n">
        <v>785.68</v>
      </c>
    </row>
    <row r="485" customFormat="false" ht="15" hidden="false" customHeight="false" outlineLevel="0" collapsed="false">
      <c r="A485" s="16" t="s">
        <v>551</v>
      </c>
      <c r="B485" s="17" t="n">
        <v>45670</v>
      </c>
      <c r="C485" s="17" t="n">
        <v>45672</v>
      </c>
      <c r="D485" s="16" t="s">
        <v>47</v>
      </c>
      <c r="E485" s="16" t="s">
        <v>26</v>
      </c>
      <c r="F485" s="16" t="s">
        <v>37</v>
      </c>
      <c r="G485" s="16" t="s">
        <v>43</v>
      </c>
      <c r="H485" s="16" t="s">
        <v>29</v>
      </c>
      <c r="I485" s="16" t="s">
        <v>78</v>
      </c>
      <c r="J485" s="16" t="n">
        <v>8</v>
      </c>
      <c r="K485" s="18" t="n">
        <v>0</v>
      </c>
      <c r="L485" s="19" t="n">
        <v>115335.45</v>
      </c>
      <c r="M485" s="19" t="n">
        <v>-837.64</v>
      </c>
    </row>
    <row r="486" customFormat="false" ht="15" hidden="false" customHeight="false" outlineLevel="0" collapsed="false">
      <c r="A486" s="16" t="s">
        <v>552</v>
      </c>
      <c r="B486" s="17" t="n">
        <v>45803</v>
      </c>
      <c r="C486" s="17" t="n">
        <v>45810</v>
      </c>
      <c r="D486" s="16" t="s">
        <v>47</v>
      </c>
      <c r="E486" s="16" t="s">
        <v>26</v>
      </c>
      <c r="F486" s="16" t="s">
        <v>37</v>
      </c>
      <c r="G486" s="16" t="s">
        <v>49</v>
      </c>
      <c r="H486" s="16" t="s">
        <v>29</v>
      </c>
      <c r="I486" s="16" t="s">
        <v>107</v>
      </c>
      <c r="J486" s="16" t="n">
        <v>11</v>
      </c>
      <c r="K486" s="18" t="n">
        <v>0.1</v>
      </c>
      <c r="L486" s="19" t="n">
        <v>180431.27</v>
      </c>
      <c r="M486" s="19" t="n">
        <v>41453.31</v>
      </c>
    </row>
    <row r="487" customFormat="false" ht="15" hidden="false" customHeight="false" outlineLevel="0" collapsed="false">
      <c r="A487" s="16" t="s">
        <v>553</v>
      </c>
      <c r="B487" s="17" t="n">
        <v>45744</v>
      </c>
      <c r="C487" s="17" t="n">
        <v>45747</v>
      </c>
      <c r="D487" s="16" t="s">
        <v>25</v>
      </c>
      <c r="E487" s="16" t="s">
        <v>26</v>
      </c>
      <c r="F487" s="16" t="s">
        <v>55</v>
      </c>
      <c r="G487" s="16" t="s">
        <v>96</v>
      </c>
      <c r="H487" s="16" t="s">
        <v>34</v>
      </c>
      <c r="I487" s="16" t="s">
        <v>35</v>
      </c>
      <c r="J487" s="16" t="n">
        <v>5</v>
      </c>
      <c r="K487" s="18" t="n">
        <v>0.3</v>
      </c>
      <c r="L487" s="19" t="n">
        <v>50369.69</v>
      </c>
      <c r="M487" s="19" t="n">
        <v>-9797.47</v>
      </c>
    </row>
    <row r="488" customFormat="false" ht="15" hidden="false" customHeight="false" outlineLevel="0" collapsed="false">
      <c r="A488" s="16" t="s">
        <v>554</v>
      </c>
      <c r="B488" s="17" t="n">
        <v>45348</v>
      </c>
      <c r="C488" s="17" t="n">
        <v>45353</v>
      </c>
      <c r="D488" s="16" t="s">
        <v>25</v>
      </c>
      <c r="E488" s="16" t="s">
        <v>26</v>
      </c>
      <c r="F488" s="16" t="s">
        <v>27</v>
      </c>
      <c r="G488" s="16" t="s">
        <v>73</v>
      </c>
      <c r="H488" s="16" t="s">
        <v>34</v>
      </c>
      <c r="I488" s="16" t="s">
        <v>52</v>
      </c>
      <c r="J488" s="16" t="n">
        <v>2</v>
      </c>
      <c r="K488" s="18" t="n">
        <v>0</v>
      </c>
      <c r="L488" s="19" t="n">
        <v>81572.26</v>
      </c>
      <c r="M488" s="19" t="n">
        <v>27367.8</v>
      </c>
    </row>
    <row r="489" customFormat="false" ht="15" hidden="false" customHeight="false" outlineLevel="0" collapsed="false">
      <c r="A489" s="16" t="s">
        <v>555</v>
      </c>
      <c r="B489" s="17" t="n">
        <v>45695</v>
      </c>
      <c r="C489" s="17" t="n">
        <v>45697</v>
      </c>
      <c r="D489" s="16" t="s">
        <v>41</v>
      </c>
      <c r="E489" s="16" t="s">
        <v>48</v>
      </c>
      <c r="F489" s="16" t="s">
        <v>59</v>
      </c>
      <c r="G489" s="16" t="s">
        <v>71</v>
      </c>
      <c r="H489" s="16" t="s">
        <v>44</v>
      </c>
      <c r="I489" s="16" t="s">
        <v>80</v>
      </c>
      <c r="J489" s="16" t="n">
        <v>12</v>
      </c>
      <c r="K489" s="18" t="n">
        <v>0.2</v>
      </c>
      <c r="L489" s="19" t="n">
        <v>11250.5</v>
      </c>
      <c r="M489" s="19" t="n">
        <v>-484.31</v>
      </c>
    </row>
    <row r="490" customFormat="false" ht="15" hidden="false" customHeight="false" outlineLevel="0" collapsed="false">
      <c r="A490" s="16" t="s">
        <v>556</v>
      </c>
      <c r="B490" s="17" t="n">
        <v>45607</v>
      </c>
      <c r="C490" s="17" t="n">
        <v>45611</v>
      </c>
      <c r="D490" s="16" t="s">
        <v>32</v>
      </c>
      <c r="E490" s="16" t="s">
        <v>42</v>
      </c>
      <c r="F490" s="16" t="s">
        <v>27</v>
      </c>
      <c r="G490" s="16" t="s">
        <v>33</v>
      </c>
      <c r="H490" s="16" t="s">
        <v>34</v>
      </c>
      <c r="I490" s="16" t="s">
        <v>35</v>
      </c>
      <c r="J490" s="16" t="n">
        <v>8</v>
      </c>
      <c r="K490" s="18" t="n">
        <v>0.4</v>
      </c>
      <c r="L490" s="19" t="n">
        <v>279677.28</v>
      </c>
      <c r="M490" s="19" t="n">
        <v>52345.33</v>
      </c>
    </row>
    <row r="491" customFormat="false" ht="15" hidden="false" customHeight="false" outlineLevel="0" collapsed="false">
      <c r="A491" s="16" t="s">
        <v>557</v>
      </c>
      <c r="B491" s="17" t="n">
        <v>45716</v>
      </c>
      <c r="C491" s="17" t="n">
        <v>45718</v>
      </c>
      <c r="D491" s="16" t="s">
        <v>32</v>
      </c>
      <c r="E491" s="16" t="s">
        <v>48</v>
      </c>
      <c r="F491" s="16" t="s">
        <v>27</v>
      </c>
      <c r="G491" s="16" t="s">
        <v>28</v>
      </c>
      <c r="H491" s="16" t="s">
        <v>34</v>
      </c>
      <c r="I491" s="16" t="s">
        <v>35</v>
      </c>
      <c r="J491" s="16" t="n">
        <v>9</v>
      </c>
      <c r="K491" s="18" t="n">
        <v>0.4</v>
      </c>
      <c r="L491" s="19" t="n">
        <v>311394.1</v>
      </c>
      <c r="M491" s="19" t="n">
        <v>-61323.16</v>
      </c>
    </row>
    <row r="492" customFormat="false" ht="15" hidden="false" customHeight="false" outlineLevel="0" collapsed="false">
      <c r="A492" s="16" t="s">
        <v>558</v>
      </c>
      <c r="B492" s="17" t="n">
        <v>45711</v>
      </c>
      <c r="C492" s="17" t="n">
        <v>45717</v>
      </c>
      <c r="D492" s="16" t="s">
        <v>41</v>
      </c>
      <c r="E492" s="16" t="s">
        <v>42</v>
      </c>
      <c r="F492" s="16" t="s">
        <v>27</v>
      </c>
      <c r="G492" s="16" t="s">
        <v>33</v>
      </c>
      <c r="H492" s="16" t="s">
        <v>44</v>
      </c>
      <c r="I492" s="16" t="s">
        <v>50</v>
      </c>
      <c r="J492" s="16" t="n">
        <v>4</v>
      </c>
      <c r="K492" s="18" t="n">
        <v>0</v>
      </c>
      <c r="L492" s="19" t="n">
        <v>4828.53</v>
      </c>
      <c r="M492" s="19" t="n">
        <v>1176.61</v>
      </c>
    </row>
    <row r="493" customFormat="false" ht="15" hidden="false" customHeight="false" outlineLevel="0" collapsed="false">
      <c r="A493" s="16" t="s">
        <v>559</v>
      </c>
      <c r="B493" s="17" t="n">
        <v>45601</v>
      </c>
      <c r="C493" s="17" t="n">
        <v>45608</v>
      </c>
      <c r="D493" s="16" t="s">
        <v>25</v>
      </c>
      <c r="E493" s="16" t="s">
        <v>26</v>
      </c>
      <c r="F493" s="16" t="s">
        <v>55</v>
      </c>
      <c r="G493" s="16" t="s">
        <v>56</v>
      </c>
      <c r="H493" s="16" t="s">
        <v>34</v>
      </c>
      <c r="I493" s="16" t="s">
        <v>57</v>
      </c>
      <c r="J493" s="16" t="n">
        <v>1</v>
      </c>
      <c r="K493" s="18" t="n">
        <v>0.5</v>
      </c>
      <c r="L493" s="19" t="n">
        <v>19486.24</v>
      </c>
      <c r="M493" s="19" t="n">
        <v>-3419.72</v>
      </c>
    </row>
    <row r="494" customFormat="false" ht="15" hidden="false" customHeight="false" outlineLevel="0" collapsed="false">
      <c r="A494" s="16" t="s">
        <v>560</v>
      </c>
      <c r="B494" s="17" t="n">
        <v>45973</v>
      </c>
      <c r="C494" s="17" t="n">
        <v>45976</v>
      </c>
      <c r="D494" s="16" t="s">
        <v>25</v>
      </c>
      <c r="E494" s="16" t="s">
        <v>26</v>
      </c>
      <c r="F494" s="16" t="s">
        <v>55</v>
      </c>
      <c r="G494" s="16" t="s">
        <v>69</v>
      </c>
      <c r="H494" s="16" t="s">
        <v>44</v>
      </c>
      <c r="I494" s="16" t="s">
        <v>67</v>
      </c>
      <c r="J494" s="16" t="n">
        <v>5</v>
      </c>
      <c r="K494" s="18" t="n">
        <v>0.3</v>
      </c>
      <c r="L494" s="19" t="n">
        <v>10201.85</v>
      </c>
      <c r="M494" s="19" t="n">
        <v>1006.3</v>
      </c>
    </row>
    <row r="495" customFormat="false" ht="15" hidden="false" customHeight="false" outlineLevel="0" collapsed="false">
      <c r="A495" s="16" t="s">
        <v>561</v>
      </c>
      <c r="B495" s="17" t="n">
        <v>45871</v>
      </c>
      <c r="C495" s="17" t="n">
        <v>45875</v>
      </c>
      <c r="D495" s="16" t="s">
        <v>25</v>
      </c>
      <c r="E495" s="16" t="s">
        <v>48</v>
      </c>
      <c r="F495" s="16" t="s">
        <v>55</v>
      </c>
      <c r="G495" s="16" t="s">
        <v>96</v>
      </c>
      <c r="H495" s="16" t="s">
        <v>44</v>
      </c>
      <c r="I495" s="16" t="s">
        <v>63</v>
      </c>
      <c r="J495" s="16" t="n">
        <v>5</v>
      </c>
      <c r="K495" s="18" t="n">
        <v>0.1</v>
      </c>
      <c r="L495" s="19" t="n">
        <v>1213.56</v>
      </c>
      <c r="M495" s="19" t="n">
        <v>-43.16</v>
      </c>
    </row>
    <row r="496" customFormat="false" ht="15" hidden="false" customHeight="false" outlineLevel="0" collapsed="false">
      <c r="A496" s="16" t="s">
        <v>562</v>
      </c>
      <c r="B496" s="17" t="n">
        <v>45346</v>
      </c>
      <c r="C496" s="17" t="n">
        <v>45349</v>
      </c>
      <c r="D496" s="16" t="s">
        <v>47</v>
      </c>
      <c r="E496" s="16" t="s">
        <v>48</v>
      </c>
      <c r="F496" s="16" t="s">
        <v>37</v>
      </c>
      <c r="G496" s="16" t="s">
        <v>38</v>
      </c>
      <c r="H496" s="16" t="s">
        <v>44</v>
      </c>
      <c r="I496" s="16" t="s">
        <v>50</v>
      </c>
      <c r="J496" s="16" t="n">
        <v>9</v>
      </c>
      <c r="K496" s="18" t="n">
        <v>0.1</v>
      </c>
      <c r="L496" s="19" t="n">
        <v>2614.66</v>
      </c>
      <c r="M496" s="19" t="n">
        <v>545.98</v>
      </c>
    </row>
    <row r="497" customFormat="false" ht="15" hidden="false" customHeight="false" outlineLevel="0" collapsed="false">
      <c r="A497" s="16" t="s">
        <v>563</v>
      </c>
      <c r="B497" s="17" t="n">
        <v>45905</v>
      </c>
      <c r="C497" s="17" t="n">
        <v>45912</v>
      </c>
      <c r="D497" s="16" t="s">
        <v>47</v>
      </c>
      <c r="E497" s="16" t="s">
        <v>48</v>
      </c>
      <c r="F497" s="16" t="s">
        <v>37</v>
      </c>
      <c r="G497" s="16" t="s">
        <v>43</v>
      </c>
      <c r="H497" s="16" t="s">
        <v>29</v>
      </c>
      <c r="I497" s="16" t="s">
        <v>30</v>
      </c>
      <c r="J497" s="16" t="n">
        <v>2</v>
      </c>
      <c r="K497" s="18" t="n">
        <v>0.1</v>
      </c>
      <c r="L497" s="19" t="n">
        <v>25725</v>
      </c>
      <c r="M497" s="19" t="n">
        <v>1566.72</v>
      </c>
    </row>
    <row r="498" customFormat="false" ht="15" hidden="false" customHeight="false" outlineLevel="0" collapsed="false">
      <c r="A498" s="16" t="s">
        <v>564</v>
      </c>
      <c r="B498" s="17" t="n">
        <v>45673</v>
      </c>
      <c r="C498" s="17" t="n">
        <v>45680</v>
      </c>
      <c r="D498" s="16" t="s">
        <v>41</v>
      </c>
      <c r="E498" s="16" t="s">
        <v>26</v>
      </c>
      <c r="F498" s="16" t="s">
        <v>37</v>
      </c>
      <c r="G498" s="16" t="s">
        <v>49</v>
      </c>
      <c r="H498" s="16" t="s">
        <v>44</v>
      </c>
      <c r="I498" s="16" t="s">
        <v>50</v>
      </c>
      <c r="J498" s="16" t="n">
        <v>3</v>
      </c>
      <c r="K498" s="18" t="n">
        <v>0</v>
      </c>
      <c r="L498" s="19" t="n">
        <v>7534.69</v>
      </c>
      <c r="M498" s="19" t="n">
        <v>3.07</v>
      </c>
    </row>
    <row r="499" customFormat="false" ht="15" hidden="false" customHeight="false" outlineLevel="0" collapsed="false">
      <c r="A499" s="16" t="s">
        <v>565</v>
      </c>
      <c r="B499" s="17" t="n">
        <v>45370</v>
      </c>
      <c r="C499" s="17" t="n">
        <v>45371</v>
      </c>
      <c r="D499" s="16" t="s">
        <v>47</v>
      </c>
      <c r="E499" s="16" t="s">
        <v>48</v>
      </c>
      <c r="F499" s="16" t="s">
        <v>55</v>
      </c>
      <c r="G499" s="16" t="s">
        <v>86</v>
      </c>
      <c r="H499" s="16" t="s">
        <v>29</v>
      </c>
      <c r="I499" s="16" t="s">
        <v>78</v>
      </c>
      <c r="J499" s="16" t="n">
        <v>3</v>
      </c>
      <c r="K499" s="18" t="n">
        <v>0.3</v>
      </c>
      <c r="L499" s="19" t="n">
        <v>43662.97</v>
      </c>
      <c r="M499" s="19" t="n">
        <v>-6404.3</v>
      </c>
    </row>
    <row r="500" customFormat="false" ht="15" hidden="false" customHeight="false" outlineLevel="0" collapsed="false">
      <c r="A500" s="16" t="s">
        <v>566</v>
      </c>
      <c r="B500" s="17" t="n">
        <v>45603</v>
      </c>
      <c r="C500" s="17" t="n">
        <v>45604</v>
      </c>
      <c r="D500" s="16" t="s">
        <v>41</v>
      </c>
      <c r="E500" s="16" t="s">
        <v>42</v>
      </c>
      <c r="F500" s="16" t="s">
        <v>27</v>
      </c>
      <c r="G500" s="16" t="s">
        <v>28</v>
      </c>
      <c r="H500" s="16" t="s">
        <v>34</v>
      </c>
      <c r="I500" s="16" t="s">
        <v>35</v>
      </c>
      <c r="J500" s="16" t="n">
        <v>12</v>
      </c>
      <c r="K500" s="18" t="n">
        <v>0</v>
      </c>
      <c r="L500" s="19" t="n">
        <v>109413.21</v>
      </c>
      <c r="M500" s="19" t="n">
        <v>534.27</v>
      </c>
    </row>
    <row r="501" customFormat="false" ht="15" hidden="false" customHeight="false" outlineLevel="0" collapsed="false">
      <c r="A501" s="16" t="s">
        <v>567</v>
      </c>
      <c r="B501" s="17" t="n">
        <v>45406</v>
      </c>
      <c r="C501" s="17" t="n">
        <v>45407</v>
      </c>
      <c r="D501" s="16" t="s">
        <v>25</v>
      </c>
      <c r="E501" s="16" t="s">
        <v>26</v>
      </c>
      <c r="F501" s="16" t="s">
        <v>55</v>
      </c>
      <c r="G501" s="16" t="s">
        <v>96</v>
      </c>
      <c r="H501" s="16" t="s">
        <v>29</v>
      </c>
      <c r="I501" s="16" t="s">
        <v>107</v>
      </c>
      <c r="J501" s="16" t="n">
        <v>1</v>
      </c>
      <c r="K501" s="18" t="n">
        <v>0</v>
      </c>
      <c r="L501" s="19" t="n">
        <v>20240.27</v>
      </c>
      <c r="M501" s="19" t="n">
        <v>5973.26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0" t="s">
        <v>568</v>
      </c>
      <c r="B1" s="20"/>
      <c r="C1" s="20"/>
      <c r="D1" s="20"/>
    </row>
    <row r="2" customFormat="false" ht="15" hidden="false" customHeight="false" outlineLevel="0" collapsed="false">
      <c r="A2" s="12" t="s">
        <v>9</v>
      </c>
      <c r="B2" s="12" t="s">
        <v>10</v>
      </c>
      <c r="C2" s="12" t="s">
        <v>11</v>
      </c>
      <c r="D2" s="12" t="s">
        <v>12</v>
      </c>
    </row>
    <row r="3" customFormat="false" ht="15" hidden="false" customHeight="false" outlineLevel="0" collapsed="false">
      <c r="A3" s="13" t="s">
        <v>29</v>
      </c>
      <c r="B3" s="14" t="n">
        <f aca="false">SUMIFS(Data!L2:L501,Data!H2:H501,A3)</f>
        <v>11037870.15</v>
      </c>
      <c r="C3" s="14" t="n">
        <f aca="false">SUMIFS(Data!M2:M501,Data!H2:H501,A3)</f>
        <v>402164.79</v>
      </c>
      <c r="D3" s="15" t="n">
        <f aca="false">C3/B3</f>
        <v>0.0364349991923034</v>
      </c>
    </row>
    <row r="4" customFormat="false" ht="15" hidden="false" customHeight="false" outlineLevel="0" collapsed="false">
      <c r="A4" s="13" t="s">
        <v>44</v>
      </c>
      <c r="B4" s="14" t="n">
        <f aca="false">SUMIFS(Data!L2:L501,Data!H2:H501,A4)</f>
        <v>1212832.73</v>
      </c>
      <c r="C4" s="14" t="n">
        <f aca="false">SUMIFS(Data!M2:M501,Data!H2:H501,A4)</f>
        <v>44506.83</v>
      </c>
      <c r="D4" s="15" t="n">
        <f aca="false">C4/B4</f>
        <v>0.0366965937668915</v>
      </c>
    </row>
    <row r="5" customFormat="false" ht="15" hidden="false" customHeight="false" outlineLevel="0" collapsed="false">
      <c r="A5" s="13" t="s">
        <v>34</v>
      </c>
      <c r="B5" s="14" t="n">
        <f aca="false">SUMIFS(Data!L2:L501,Data!H2:H501,A5)</f>
        <v>28799669.93</v>
      </c>
      <c r="C5" s="14" t="n">
        <f aca="false">SUMIFS(Data!M2:M501,Data!H2:H501,A5)</f>
        <v>1618002.38</v>
      </c>
      <c r="D5" s="15" t="n">
        <f aca="false">C5/B5</f>
        <v>0.0561812820748533</v>
      </c>
    </row>
    <row r="6" customFormat="false" ht="15" hidden="false" customHeight="false" outlineLevel="0" collapsed="false">
      <c r="A6" s="21" t="s">
        <v>569</v>
      </c>
      <c r="B6" s="22" t="n">
        <f aca="false">SUM(B3:B5)</f>
        <v>41050372.81</v>
      </c>
      <c r="C6" s="22" t="n">
        <f aca="false">SUM(C3:C5)</f>
        <v>2064674</v>
      </c>
      <c r="D6" s="23" t="n">
        <f aca="false">C6/B6</f>
        <v>0.0502961083826513</v>
      </c>
    </row>
    <row r="9" customFormat="false" ht="15" hidden="false" customHeight="false" outlineLevel="0" collapsed="false">
      <c r="A9" s="20" t="s">
        <v>570</v>
      </c>
      <c r="B9" s="20"/>
      <c r="C9" s="20"/>
      <c r="D9" s="20"/>
    </row>
    <row r="10" customFormat="false" ht="15" hidden="false" customHeight="false" outlineLevel="0" collapsed="false">
      <c r="A10" s="12" t="s">
        <v>18</v>
      </c>
      <c r="B10" s="12" t="s">
        <v>10</v>
      </c>
      <c r="C10" s="12" t="s">
        <v>11</v>
      </c>
      <c r="D10" s="12" t="s">
        <v>12</v>
      </c>
    </row>
    <row r="11" customFormat="false" ht="15" hidden="false" customHeight="false" outlineLevel="0" collapsed="false">
      <c r="A11" s="13" t="s">
        <v>55</v>
      </c>
      <c r="B11" s="14" t="n">
        <f aca="false">SUMIFS(Data!L2:L501,Data!F2:F501,A11)</f>
        <v>7225031.14</v>
      </c>
      <c r="C11" s="14" t="n">
        <f aca="false">SUMIFS(Data!M2:M501,Data!F2:F501,A11)</f>
        <v>234291.63</v>
      </c>
      <c r="D11" s="15" t="n">
        <f aca="false">C11/B11</f>
        <v>0.032427767501636</v>
      </c>
    </row>
    <row r="12" customFormat="false" ht="15" hidden="false" customHeight="false" outlineLevel="0" collapsed="false">
      <c r="A12" s="13" t="s">
        <v>59</v>
      </c>
      <c r="B12" s="14" t="n">
        <f aca="false">SUMIFS(Data!L2:L501,Data!F2:F501,A12)</f>
        <v>12518698.79</v>
      </c>
      <c r="C12" s="14" t="n">
        <f aca="false">SUMIFS(Data!M2:M501,Data!F2:F501,A12)</f>
        <v>817016.15</v>
      </c>
      <c r="D12" s="15" t="n">
        <f aca="false">C12/B12</f>
        <v>0.0652636638763636</v>
      </c>
    </row>
    <row r="13" customFormat="false" ht="15" hidden="false" customHeight="false" outlineLevel="0" collapsed="false">
      <c r="A13" s="13" t="s">
        <v>27</v>
      </c>
      <c r="B13" s="14" t="n">
        <f aca="false">SUMIFS(Data!L2:L501,Data!F2:F501,A13)</f>
        <v>10876618.35</v>
      </c>
      <c r="C13" s="14" t="n">
        <f aca="false">SUMIFS(Data!M2:M501,Data!F2:F501,A13)</f>
        <v>331089.29</v>
      </c>
      <c r="D13" s="15" t="n">
        <f aca="false">C13/B13</f>
        <v>0.0304404622232608</v>
      </c>
    </row>
    <row r="14" customFormat="false" ht="15" hidden="false" customHeight="false" outlineLevel="0" collapsed="false">
      <c r="A14" s="13" t="s">
        <v>37</v>
      </c>
      <c r="B14" s="14" t="n">
        <f aca="false">SUMIFS(Data!L2:L501,Data!F2:F501,A14)</f>
        <v>10430024.53</v>
      </c>
      <c r="C14" s="14" t="n">
        <f aca="false">SUMIFS(Data!M2:M501,Data!F2:F501,A14)</f>
        <v>682276.93</v>
      </c>
      <c r="D14" s="15" t="n">
        <f aca="false">C14/B14</f>
        <v>0.0654147004196931</v>
      </c>
    </row>
    <row r="18" customFormat="false" ht="15" hidden="false" customHeight="false" outlineLevel="0" collapsed="false">
      <c r="A18" s="20" t="s">
        <v>571</v>
      </c>
      <c r="B18" s="20"/>
      <c r="C18" s="20"/>
      <c r="D18" s="20"/>
    </row>
    <row r="19" customFormat="false" ht="15" hidden="false" customHeight="false" outlineLevel="0" collapsed="false">
      <c r="A19" s="12" t="s">
        <v>572</v>
      </c>
      <c r="B19" s="12" t="s">
        <v>10</v>
      </c>
      <c r="C19" s="12" t="s">
        <v>11</v>
      </c>
      <c r="D19" s="12" t="s">
        <v>573</v>
      </c>
    </row>
    <row r="20" customFormat="false" ht="15" hidden="false" customHeight="false" outlineLevel="0" collapsed="false">
      <c r="A20" s="13" t="s">
        <v>574</v>
      </c>
      <c r="B20" s="14" t="n">
        <f aca="false">SUMPRODUCT((TEXT(Data!B2:B501,"yyyy-mm")=A20)*Data!L2:L501)</f>
        <v>1634826.82</v>
      </c>
      <c r="C20" s="14" t="n">
        <f aca="false">SUMPRODUCT((TEXT(Data!B2:B501,"yyyy-mm")=A20)*Data!M2:M501)</f>
        <v>16740.89</v>
      </c>
      <c r="D20" s="24" t="n">
        <f aca="false">SUMPRODUCT((TEXT(Data!B2:B501,"yyyy-mm")=A20)*1)</f>
        <v>16</v>
      </c>
    </row>
    <row r="21" customFormat="false" ht="15" hidden="false" customHeight="false" outlineLevel="0" collapsed="false">
      <c r="A21" s="13" t="s">
        <v>575</v>
      </c>
      <c r="B21" s="14" t="n">
        <f aca="false">SUMPRODUCT((TEXT(Data!B2:B501,"yyyy-mm")=A21)*Data!L2:L501)</f>
        <v>1056013.99</v>
      </c>
      <c r="C21" s="14" t="n">
        <f aca="false">SUMPRODUCT((TEXT(Data!B2:B501,"yyyy-mm")=A21)*Data!M2:M501)</f>
        <v>77707.37</v>
      </c>
      <c r="D21" s="24" t="n">
        <f aca="false">SUMPRODUCT((TEXT(Data!B2:B501,"yyyy-mm")=A21)*1)</f>
        <v>24</v>
      </c>
    </row>
    <row r="22" customFormat="false" ht="15" hidden="false" customHeight="false" outlineLevel="0" collapsed="false">
      <c r="A22" s="13" t="s">
        <v>576</v>
      </c>
      <c r="B22" s="14" t="n">
        <f aca="false">SUMPRODUCT((TEXT(Data!B2:B501,"yyyy-mm")=A22)*Data!L2:L501)</f>
        <v>1020067.53</v>
      </c>
      <c r="C22" s="14" t="n">
        <f aca="false">SUMPRODUCT((TEXT(Data!B2:B501,"yyyy-mm")=A22)*Data!M2:M501)</f>
        <v>77697.02</v>
      </c>
      <c r="D22" s="24" t="n">
        <f aca="false">SUMPRODUCT((TEXT(Data!B2:B501,"yyyy-mm")=A22)*1)</f>
        <v>21</v>
      </c>
    </row>
    <row r="23" customFormat="false" ht="15" hidden="false" customHeight="false" outlineLevel="0" collapsed="false">
      <c r="A23" s="13" t="s">
        <v>577</v>
      </c>
      <c r="B23" s="14" t="n">
        <f aca="false">SUMPRODUCT((TEXT(Data!B2:B501,"yyyy-mm")=A23)*Data!L2:L501)</f>
        <v>3130269.01</v>
      </c>
      <c r="C23" s="14" t="n">
        <f aca="false">SUMPRODUCT((TEXT(Data!B2:B501,"yyyy-mm")=A23)*Data!M2:M501)</f>
        <v>379787.03</v>
      </c>
      <c r="D23" s="24" t="n">
        <f aca="false">SUMPRODUCT((TEXT(Data!B2:B501,"yyyy-mm")=A23)*1)</f>
        <v>28</v>
      </c>
    </row>
    <row r="24" customFormat="false" ht="15" hidden="false" customHeight="false" outlineLevel="0" collapsed="false">
      <c r="A24" s="13" t="s">
        <v>578</v>
      </c>
      <c r="B24" s="14" t="n">
        <f aca="false">SUMPRODUCT((TEXT(Data!B2:B501,"yyyy-mm")=A24)*Data!L2:L501)</f>
        <v>1664587.57</v>
      </c>
      <c r="C24" s="14" t="n">
        <f aca="false">SUMPRODUCT((TEXT(Data!B2:B501,"yyyy-mm")=A24)*Data!M2:M501)</f>
        <v>79380.15</v>
      </c>
      <c r="D24" s="24" t="n">
        <f aca="false">SUMPRODUCT((TEXT(Data!B2:B501,"yyyy-mm")=A24)*1)</f>
        <v>21</v>
      </c>
    </row>
    <row r="25" customFormat="false" ht="15" hidden="false" customHeight="false" outlineLevel="0" collapsed="false">
      <c r="A25" s="13" t="s">
        <v>579</v>
      </c>
      <c r="B25" s="14" t="n">
        <f aca="false">SUMPRODUCT((TEXT(Data!B2:B501,"yyyy-mm")=A25)*Data!L2:L501)</f>
        <v>2453249</v>
      </c>
      <c r="C25" s="14" t="n">
        <f aca="false">SUMPRODUCT((TEXT(Data!B2:B501,"yyyy-mm")=A25)*Data!M2:M501)</f>
        <v>84493.29</v>
      </c>
      <c r="D25" s="24" t="n">
        <f aca="false">SUMPRODUCT((TEXT(Data!B2:B501,"yyyy-mm")=A25)*1)</f>
        <v>20</v>
      </c>
    </row>
    <row r="26" customFormat="false" ht="15" hidden="false" customHeight="false" outlineLevel="0" collapsed="false">
      <c r="A26" s="13" t="s">
        <v>580</v>
      </c>
      <c r="B26" s="14" t="n">
        <f aca="false">SUMPRODUCT((TEXT(Data!B2:B501,"yyyy-mm")=A26)*Data!L2:L501)</f>
        <v>1604069.9</v>
      </c>
      <c r="C26" s="14" t="n">
        <f aca="false">SUMPRODUCT((TEXT(Data!B2:B501,"yyyy-mm")=A26)*Data!M2:M501)</f>
        <v>98187.97</v>
      </c>
      <c r="D26" s="24" t="n">
        <f aca="false">SUMPRODUCT((TEXT(Data!B2:B501,"yyyy-mm")=A26)*1)</f>
        <v>21</v>
      </c>
    </row>
    <row r="27" customFormat="false" ht="15" hidden="false" customHeight="false" outlineLevel="0" collapsed="false">
      <c r="A27" s="13" t="s">
        <v>581</v>
      </c>
      <c r="B27" s="14" t="n">
        <f aca="false">SUMPRODUCT((TEXT(Data!B2:B501,"yyyy-mm")=A27)*Data!L2:L501)</f>
        <v>3027023.37</v>
      </c>
      <c r="C27" s="14" t="n">
        <f aca="false">SUMPRODUCT((TEXT(Data!B2:B501,"yyyy-mm")=A27)*Data!M2:M501)</f>
        <v>216901.2</v>
      </c>
      <c r="D27" s="24" t="n">
        <f aca="false">SUMPRODUCT((TEXT(Data!B2:B501,"yyyy-mm")=A27)*1)</f>
        <v>26</v>
      </c>
    </row>
    <row r="28" customFormat="false" ht="15" hidden="false" customHeight="false" outlineLevel="0" collapsed="false">
      <c r="A28" s="13" t="s">
        <v>582</v>
      </c>
      <c r="B28" s="14" t="n">
        <f aca="false">SUMPRODUCT((TEXT(Data!B2:B501,"yyyy-mm")=A28)*Data!L2:L501)</f>
        <v>1621408.44</v>
      </c>
      <c r="C28" s="14" t="n">
        <f aca="false">SUMPRODUCT((TEXT(Data!B2:B501,"yyyy-mm")=A28)*Data!M2:M501)</f>
        <v>141843.4</v>
      </c>
      <c r="D28" s="24" t="n">
        <f aca="false">SUMPRODUCT((TEXT(Data!B2:B501,"yyyy-mm")=A28)*1)</f>
        <v>19</v>
      </c>
    </row>
    <row r="29" customFormat="false" ht="15" hidden="false" customHeight="false" outlineLevel="0" collapsed="false">
      <c r="A29" s="13" t="s">
        <v>583</v>
      </c>
      <c r="B29" s="14" t="n">
        <f aca="false">SUMPRODUCT((TEXT(Data!B2:B501,"yyyy-mm")=A29)*Data!L2:L501)</f>
        <v>1686280.71</v>
      </c>
      <c r="C29" s="14" t="n">
        <f aca="false">SUMPRODUCT((TEXT(Data!B2:B501,"yyyy-mm")=A29)*Data!M2:M501)</f>
        <v>362.699999999992</v>
      </c>
      <c r="D29" s="24" t="n">
        <f aca="false">SUMPRODUCT((TEXT(Data!B2:B501,"yyyy-mm")=A29)*1)</f>
        <v>18</v>
      </c>
    </row>
    <row r="30" customFormat="false" ht="15" hidden="false" customHeight="false" outlineLevel="0" collapsed="false">
      <c r="A30" s="13" t="s">
        <v>584</v>
      </c>
      <c r="B30" s="14" t="n">
        <f aca="false">SUMPRODUCT((TEXT(Data!B2:B501,"yyyy-mm")=A30)*Data!L2:L501)</f>
        <v>1765557.03</v>
      </c>
      <c r="C30" s="14" t="n">
        <f aca="false">SUMPRODUCT((TEXT(Data!B2:B501,"yyyy-mm")=A30)*Data!M2:M501)</f>
        <v>135633.31</v>
      </c>
      <c r="D30" s="24" t="n">
        <f aca="false">SUMPRODUCT((TEXT(Data!B2:B501,"yyyy-mm")=A30)*1)</f>
        <v>19</v>
      </c>
    </row>
    <row r="31" customFormat="false" ht="15" hidden="false" customHeight="false" outlineLevel="0" collapsed="false">
      <c r="A31" s="13" t="s">
        <v>585</v>
      </c>
      <c r="B31" s="14" t="n">
        <f aca="false">SUMPRODUCT((TEXT(Data!B2:B501,"yyyy-mm")=A31)*Data!L2:L501)</f>
        <v>1857364.11</v>
      </c>
      <c r="C31" s="14" t="n">
        <f aca="false">SUMPRODUCT((TEXT(Data!B2:B501,"yyyy-mm")=A31)*Data!M2:M501)</f>
        <v>76677.81</v>
      </c>
      <c r="D31" s="24" t="n">
        <f aca="false">SUMPRODUCT((TEXT(Data!B2:B501,"yyyy-mm")=A31)*1)</f>
        <v>21</v>
      </c>
    </row>
    <row r="32" customFormat="false" ht="15" hidden="false" customHeight="false" outlineLevel="0" collapsed="false">
      <c r="A32" s="13" t="s">
        <v>586</v>
      </c>
      <c r="B32" s="14" t="n">
        <f aca="false">SUMPRODUCT((TEXT(Data!B2:B501,"yyyy-mm")=A32)*Data!L2:L501)</f>
        <v>1123703.19</v>
      </c>
      <c r="C32" s="14" t="n">
        <f aca="false">SUMPRODUCT((TEXT(Data!B2:B501,"yyyy-mm")=A32)*Data!M2:M501)</f>
        <v>104982.39</v>
      </c>
      <c r="D32" s="24" t="n">
        <f aca="false">SUMPRODUCT((TEXT(Data!B2:B501,"yyyy-mm")=A32)*1)</f>
        <v>16</v>
      </c>
    </row>
    <row r="33" customFormat="false" ht="15" hidden="false" customHeight="false" outlineLevel="0" collapsed="false">
      <c r="A33" s="13" t="s">
        <v>587</v>
      </c>
      <c r="B33" s="14" t="n">
        <f aca="false">SUMPRODUCT((TEXT(Data!B2:B501,"yyyy-mm")=A33)*Data!L2:L501)</f>
        <v>1722624.47</v>
      </c>
      <c r="C33" s="14" t="n">
        <f aca="false">SUMPRODUCT((TEXT(Data!B2:B501,"yyyy-mm")=A33)*Data!M2:M501)</f>
        <v>-112558.63</v>
      </c>
      <c r="D33" s="24" t="n">
        <f aca="false">SUMPRODUCT((TEXT(Data!B2:B501,"yyyy-mm")=A33)*1)</f>
        <v>20</v>
      </c>
    </row>
    <row r="34" customFormat="false" ht="15" hidden="false" customHeight="false" outlineLevel="0" collapsed="false">
      <c r="A34" s="13" t="s">
        <v>588</v>
      </c>
      <c r="B34" s="14" t="n">
        <f aca="false">SUMPRODUCT((TEXT(Data!B2:B501,"yyyy-mm")=A34)*Data!L2:L501)</f>
        <v>1136795.99</v>
      </c>
      <c r="C34" s="14" t="n">
        <f aca="false">SUMPRODUCT((TEXT(Data!B2:B501,"yyyy-mm")=A34)*Data!M2:M501)</f>
        <v>155129.65</v>
      </c>
      <c r="D34" s="24" t="n">
        <f aca="false">SUMPRODUCT((TEXT(Data!B2:B501,"yyyy-mm")=A34)*1)</f>
        <v>16</v>
      </c>
    </row>
    <row r="35" customFormat="false" ht="15" hidden="false" customHeight="false" outlineLevel="0" collapsed="false">
      <c r="A35" s="13" t="s">
        <v>589</v>
      </c>
      <c r="B35" s="14" t="n">
        <f aca="false">SUMPRODUCT((TEXT(Data!B2:B501,"yyyy-mm")=A35)*Data!L2:L501)</f>
        <v>1239539.85</v>
      </c>
      <c r="C35" s="14" t="n">
        <f aca="false">SUMPRODUCT((TEXT(Data!B2:B501,"yyyy-mm")=A35)*Data!M2:M501)</f>
        <v>123803.03</v>
      </c>
      <c r="D35" s="24" t="n">
        <f aca="false">SUMPRODUCT((TEXT(Data!B2:B501,"yyyy-mm")=A35)*1)</f>
        <v>22</v>
      </c>
    </row>
    <row r="36" customFormat="false" ht="15" hidden="false" customHeight="false" outlineLevel="0" collapsed="false">
      <c r="A36" s="13" t="s">
        <v>590</v>
      </c>
      <c r="B36" s="14" t="n">
        <f aca="false">SUMPRODUCT((TEXT(Data!B2:B501,"yyyy-mm")=A36)*Data!L2:L501)</f>
        <v>1259128.65</v>
      </c>
      <c r="C36" s="14" t="n">
        <f aca="false">SUMPRODUCT((TEXT(Data!B2:B501,"yyyy-mm")=A36)*Data!M2:M501)</f>
        <v>64344.44</v>
      </c>
      <c r="D36" s="24" t="n">
        <f aca="false">SUMPRODUCT((TEXT(Data!B2:B501,"yyyy-mm")=A36)*1)</f>
        <v>17</v>
      </c>
    </row>
    <row r="37" customFormat="false" ht="15" hidden="false" customHeight="false" outlineLevel="0" collapsed="false">
      <c r="A37" s="13" t="s">
        <v>591</v>
      </c>
      <c r="B37" s="14" t="n">
        <f aca="false">SUMPRODUCT((TEXT(Data!B2:B501,"yyyy-mm")=A37)*Data!L2:L501)</f>
        <v>1880619.31</v>
      </c>
      <c r="C37" s="14" t="n">
        <f aca="false">SUMPRODUCT((TEXT(Data!B2:B501,"yyyy-mm")=A37)*Data!M2:M501)</f>
        <v>140824.57</v>
      </c>
      <c r="D37" s="24" t="n">
        <f aca="false">SUMPRODUCT((TEXT(Data!B2:B501,"yyyy-mm")=A37)*1)</f>
        <v>20</v>
      </c>
    </row>
    <row r="38" customFormat="false" ht="15" hidden="false" customHeight="false" outlineLevel="0" collapsed="false">
      <c r="A38" s="13" t="s">
        <v>592</v>
      </c>
      <c r="B38" s="14" t="n">
        <f aca="false">SUMPRODUCT((TEXT(Data!B2:B501,"yyyy-mm")=A38)*Data!L2:L501)</f>
        <v>1768225.63</v>
      </c>
      <c r="C38" s="14" t="n">
        <f aca="false">SUMPRODUCT((TEXT(Data!B2:B501,"yyyy-mm")=A38)*Data!M2:M501)</f>
        <v>-113090.2</v>
      </c>
      <c r="D38" s="24" t="n">
        <f aca="false">SUMPRODUCT((TEXT(Data!B2:B501,"yyyy-mm")=A38)*1)</f>
        <v>22</v>
      </c>
    </row>
    <row r="39" customFormat="false" ht="15" hidden="false" customHeight="false" outlineLevel="0" collapsed="false">
      <c r="A39" s="13" t="s">
        <v>593</v>
      </c>
      <c r="B39" s="14" t="n">
        <f aca="false">SUMPRODUCT((TEXT(Data!B2:B501,"yyyy-mm")=A39)*Data!L2:L501)</f>
        <v>1100622.04</v>
      </c>
      <c r="C39" s="14" t="n">
        <f aca="false">SUMPRODUCT((TEXT(Data!B2:B501,"yyyy-mm")=A39)*Data!M2:M501)</f>
        <v>160766.8</v>
      </c>
      <c r="D39" s="24" t="n">
        <f aca="false">SUMPRODUCT((TEXT(Data!B2:B501,"yyyy-mm")=A39)*1)</f>
        <v>18</v>
      </c>
    </row>
    <row r="40" customFormat="false" ht="15" hidden="false" customHeight="false" outlineLevel="0" collapsed="false">
      <c r="A40" s="13" t="s">
        <v>594</v>
      </c>
      <c r="B40" s="14" t="n">
        <f aca="false">SUMPRODUCT((TEXT(Data!B2:B501,"yyyy-mm")=A40)*Data!L2:L501)</f>
        <v>3209041.27</v>
      </c>
      <c r="C40" s="14" t="n">
        <f aca="false">SUMPRODUCT((TEXT(Data!B2:B501,"yyyy-mm")=A40)*Data!M2:M501)</f>
        <v>-23923.25</v>
      </c>
      <c r="D40" s="24" t="n">
        <f aca="false">SUMPRODUCT((TEXT(Data!B2:B501,"yyyy-mm")=A40)*1)</f>
        <v>22</v>
      </c>
    </row>
    <row r="41" customFormat="false" ht="15" hidden="false" customHeight="false" outlineLevel="0" collapsed="false">
      <c r="A41" s="13" t="s">
        <v>595</v>
      </c>
      <c r="B41" s="14" t="n">
        <f aca="false">SUMPRODUCT((TEXT(Data!B2:B501,"yyyy-mm")=A41)*Data!L2:L501)</f>
        <v>1839086.32</v>
      </c>
      <c r="C41" s="14" t="n">
        <f aca="false">SUMPRODUCT((TEXT(Data!B2:B501,"yyyy-mm")=A41)*Data!M2:M501)</f>
        <v>87583.23</v>
      </c>
      <c r="D41" s="24" t="n">
        <f aca="false">SUMPRODUCT((TEXT(Data!B2:B501,"yyyy-mm")=A41)*1)</f>
        <v>32</v>
      </c>
    </row>
    <row r="42" customFormat="false" ht="15" hidden="false" customHeight="false" outlineLevel="0" collapsed="false">
      <c r="A42" s="13" t="s">
        <v>596</v>
      </c>
      <c r="B42" s="14" t="n">
        <f aca="false">SUMPRODUCT((TEXT(Data!B2:B501,"yyyy-mm")=A42)*Data!L2:L501)</f>
        <v>1499383.09</v>
      </c>
      <c r="C42" s="14" t="n">
        <f aca="false">SUMPRODUCT((TEXT(Data!B2:B501,"yyyy-mm")=A42)*Data!M2:M501)</f>
        <v>97293.6</v>
      </c>
      <c r="D42" s="24" t="n">
        <f aca="false">SUMPRODUCT((TEXT(Data!B2:B501,"yyyy-mm")=A42)*1)</f>
        <v>22</v>
      </c>
    </row>
    <row r="43" customFormat="false" ht="15" hidden="false" customHeight="false" outlineLevel="0" collapsed="false">
      <c r="A43" s="13" t="s">
        <v>597</v>
      </c>
      <c r="B43" s="14" t="n">
        <f aca="false">SUMPRODUCT((TEXT(Data!B2:B501,"yyyy-mm")=A43)*Data!L2:L501)</f>
        <v>750885.52</v>
      </c>
      <c r="C43" s="14" t="n">
        <f aca="false">SUMPRODUCT((TEXT(Data!B2:B501,"yyyy-mm")=A43)*Data!M2:M501)</f>
        <v>-5893.77</v>
      </c>
      <c r="D43" s="24" t="n">
        <f aca="false">SUMPRODUCT((TEXT(Data!B2:B501,"yyyy-mm")=A43)*1)</f>
        <v>19</v>
      </c>
    </row>
    <row r="47" customFormat="false" ht="15" hidden="false" customHeight="false" outlineLevel="0" collapsed="false">
      <c r="A47" s="20" t="s">
        <v>598</v>
      </c>
      <c r="B47" s="20"/>
      <c r="C47" s="20"/>
      <c r="D47" s="20"/>
      <c r="E47" s="20"/>
    </row>
    <row r="48" customFormat="false" ht="15" hidden="false" customHeight="false" outlineLevel="0" collapsed="false">
      <c r="A48" s="12" t="s">
        <v>8</v>
      </c>
      <c r="B48" s="12" t="s">
        <v>9</v>
      </c>
      <c r="C48" s="12" t="s">
        <v>10</v>
      </c>
      <c r="D48" s="12" t="s">
        <v>11</v>
      </c>
      <c r="E48" s="12" t="s">
        <v>12</v>
      </c>
    </row>
    <row r="49" customFormat="false" ht="15" hidden="false" customHeight="false" outlineLevel="0" collapsed="false">
      <c r="A49" s="13" t="s">
        <v>57</v>
      </c>
      <c r="B49" s="13" t="s">
        <v>34</v>
      </c>
      <c r="C49" s="14" t="n">
        <f aca="false">SUMIFS(Data!L2:L501,Data!I2:I501,A49)</f>
        <v>5679821.2</v>
      </c>
      <c r="D49" s="14" t="n">
        <f aca="false">SUMIFS(Data!M2:M501,Data!I2:I501,A49)</f>
        <v>443193.84</v>
      </c>
      <c r="E49" s="15" t="n">
        <f aca="false">D49/C49</f>
        <v>0.0780295407890657</v>
      </c>
    </row>
    <row r="50" customFormat="false" ht="15" hidden="false" customHeight="false" outlineLevel="0" collapsed="false">
      <c r="A50" s="13" t="s">
        <v>50</v>
      </c>
      <c r="B50" s="13" t="s">
        <v>44</v>
      </c>
      <c r="C50" s="14" t="n">
        <f aca="false">SUMIFS(Data!L2:L501,Data!I2:I501,A50)</f>
        <v>209425.21</v>
      </c>
      <c r="D50" s="14" t="n">
        <f aca="false">SUMIFS(Data!M2:M501,Data!I2:I501,A50)</f>
        <v>7153.05</v>
      </c>
      <c r="E50" s="15" t="n">
        <f aca="false">D50/C50</f>
        <v>0.0341556300695604</v>
      </c>
    </row>
    <row r="51" customFormat="false" ht="15" hidden="false" customHeight="false" outlineLevel="0" collapsed="false">
      <c r="A51" s="13" t="s">
        <v>45</v>
      </c>
      <c r="B51" s="13" t="s">
        <v>44</v>
      </c>
      <c r="C51" s="14" t="n">
        <f aca="false">SUMIFS(Data!L2:L501,Data!I2:I501,A51)</f>
        <v>201026.93</v>
      </c>
      <c r="D51" s="14" t="n">
        <f aca="false">SUMIFS(Data!M2:M501,Data!I2:I501,A51)</f>
        <v>21658.73</v>
      </c>
      <c r="E51" s="15" t="n">
        <f aca="false">D51/C51</f>
        <v>0.107740440546946</v>
      </c>
    </row>
    <row r="52" customFormat="false" ht="15" hidden="false" customHeight="false" outlineLevel="0" collapsed="false">
      <c r="A52" s="13" t="s">
        <v>30</v>
      </c>
      <c r="B52" s="13" t="s">
        <v>29</v>
      </c>
      <c r="C52" s="14" t="n">
        <f aca="false">SUMIFS(Data!L2:L501,Data!I2:I501,A52)</f>
        <v>3529016.69</v>
      </c>
      <c r="D52" s="14" t="n">
        <f aca="false">SUMIFS(Data!M2:M501,Data!I2:I501,A52)</f>
        <v>47129.72</v>
      </c>
      <c r="E52" s="15" t="n">
        <f aca="false">D52/C52</f>
        <v>0.0133549155869818</v>
      </c>
    </row>
    <row r="53" customFormat="false" ht="15" hidden="false" customHeight="false" outlineLevel="0" collapsed="false">
      <c r="A53" s="13" t="s">
        <v>78</v>
      </c>
      <c r="B53" s="13" t="s">
        <v>29</v>
      </c>
      <c r="C53" s="14" t="n">
        <f aca="false">SUMIFS(Data!L2:L501,Data!I2:I501,A53)</f>
        <v>2084952.04</v>
      </c>
      <c r="D53" s="14" t="n">
        <f aca="false">SUMIFS(Data!M2:M501,Data!I2:I501,A53)</f>
        <v>67648.29</v>
      </c>
      <c r="E53" s="15" t="n">
        <f aca="false">D53/C53</f>
        <v>0.032445969356686</v>
      </c>
    </row>
    <row r="54" customFormat="false" ht="15" hidden="false" customHeight="false" outlineLevel="0" collapsed="false">
      <c r="A54" s="13" t="s">
        <v>61</v>
      </c>
      <c r="B54" s="13" t="s">
        <v>34</v>
      </c>
      <c r="C54" s="14" t="n">
        <f aca="false">SUMIFS(Data!L2:L501,Data!I2:I501,A54)</f>
        <v>8439129.14</v>
      </c>
      <c r="D54" s="14" t="n">
        <f aca="false">SUMIFS(Data!M2:M501,Data!I2:I501,A54)</f>
        <v>408188.26</v>
      </c>
      <c r="E54" s="15" t="n">
        <f aca="false">D54/C54</f>
        <v>0.0483685286986851</v>
      </c>
    </row>
    <row r="55" customFormat="false" ht="15" hidden="false" customHeight="false" outlineLevel="0" collapsed="false">
      <c r="A55" s="13" t="s">
        <v>63</v>
      </c>
      <c r="B55" s="13" t="s">
        <v>44</v>
      </c>
      <c r="C55" s="14" t="n">
        <f aca="false">SUMIFS(Data!L2:L501,Data!I2:I501,A55)</f>
        <v>261262.65</v>
      </c>
      <c r="D55" s="14" t="n">
        <f aca="false">SUMIFS(Data!M2:M501,Data!I2:I501,A55)</f>
        <v>9101.56</v>
      </c>
      <c r="E55" s="15" t="n">
        <f aca="false">D55/C55</f>
        <v>0.0348368203415222</v>
      </c>
    </row>
    <row r="56" customFormat="false" ht="15" hidden="false" customHeight="false" outlineLevel="0" collapsed="false">
      <c r="A56" s="13" t="s">
        <v>107</v>
      </c>
      <c r="B56" s="13" t="s">
        <v>29</v>
      </c>
      <c r="C56" s="14" t="n">
        <f aca="false">SUMIFS(Data!L2:L501,Data!I2:I501,A56)</f>
        <v>3218362.27</v>
      </c>
      <c r="D56" s="14" t="n">
        <f aca="false">SUMIFS(Data!M2:M501,Data!I2:I501,A56)</f>
        <v>161780.2</v>
      </c>
      <c r="E56" s="15" t="n">
        <f aca="false">D56/C56</f>
        <v>0.0502678649659909</v>
      </c>
    </row>
    <row r="57" customFormat="false" ht="15" hidden="false" customHeight="false" outlineLevel="0" collapsed="false">
      <c r="A57" s="13" t="s">
        <v>98</v>
      </c>
      <c r="B57" s="13" t="s">
        <v>44</v>
      </c>
      <c r="C57" s="14" t="n">
        <f aca="false">SUMIFS(Data!L2:L501,Data!I2:I501,A57)</f>
        <v>210188.8</v>
      </c>
      <c r="D57" s="14" t="n">
        <f aca="false">SUMIFS(Data!M2:M501,Data!I2:I501,A57)</f>
        <v>-6761.4</v>
      </c>
      <c r="E57" s="15" t="n">
        <f aca="false">D57/C57</f>
        <v>-0.0321682220936606</v>
      </c>
    </row>
    <row r="58" customFormat="false" ht="15" hidden="false" customHeight="false" outlineLevel="0" collapsed="false">
      <c r="A58" s="13" t="s">
        <v>52</v>
      </c>
      <c r="B58" s="13" t="s">
        <v>34</v>
      </c>
      <c r="C58" s="14" t="n">
        <f aca="false">SUMIFS(Data!L2:L501,Data!I2:I501,A58)</f>
        <v>7179647.15</v>
      </c>
      <c r="D58" s="14" t="n">
        <f aca="false">SUMIFS(Data!M2:M501,Data!I2:I501,A58)</f>
        <v>573765.49</v>
      </c>
      <c r="E58" s="15" t="n">
        <f aca="false">D58/C58</f>
        <v>0.0799155554601315</v>
      </c>
    </row>
    <row r="59" customFormat="false" ht="15" hidden="false" customHeight="false" outlineLevel="0" collapsed="false">
      <c r="A59" s="13" t="s">
        <v>67</v>
      </c>
      <c r="B59" s="13" t="s">
        <v>44</v>
      </c>
      <c r="C59" s="14" t="n">
        <f aca="false">SUMIFS(Data!L2:L501,Data!I2:I501,A59)</f>
        <v>151846.16</v>
      </c>
      <c r="D59" s="14" t="n">
        <f aca="false">SUMIFS(Data!M2:M501,Data!I2:I501,A59)</f>
        <v>6069.81</v>
      </c>
      <c r="E59" s="15" t="n">
        <f aca="false">D59/C59</f>
        <v>0.0399734178328909</v>
      </c>
    </row>
    <row r="60" customFormat="false" ht="15" hidden="false" customHeight="false" outlineLevel="0" collapsed="false">
      <c r="A60" s="13" t="s">
        <v>35</v>
      </c>
      <c r="B60" s="13" t="s">
        <v>34</v>
      </c>
      <c r="C60" s="14" t="n">
        <f aca="false">SUMIFS(Data!L2:L501,Data!I2:I501,A60)</f>
        <v>7501072.44</v>
      </c>
      <c r="D60" s="14" t="n">
        <f aca="false">SUMIFS(Data!M2:M501,Data!I2:I501,A60)</f>
        <v>192854.79</v>
      </c>
      <c r="E60" s="15" t="n">
        <f aca="false">D60/C60</f>
        <v>0.0257102956334068</v>
      </c>
    </row>
    <row r="61" customFormat="false" ht="15" hidden="false" customHeight="false" outlineLevel="0" collapsed="false">
      <c r="A61" s="13" t="s">
        <v>80</v>
      </c>
      <c r="B61" s="13" t="s">
        <v>44</v>
      </c>
      <c r="C61" s="14" t="n">
        <f aca="false">SUMIFS(Data!L2:L501,Data!I2:I501,A61)</f>
        <v>179082.98</v>
      </c>
      <c r="D61" s="14" t="n">
        <f aca="false">SUMIFS(Data!M2:M501,Data!I2:I501,A61)</f>
        <v>7285.08</v>
      </c>
      <c r="E61" s="15" t="n">
        <f aca="false">D61/C61</f>
        <v>0.0406799127421266</v>
      </c>
    </row>
    <row r="62" customFormat="false" ht="15" hidden="false" customHeight="false" outlineLevel="0" collapsed="false">
      <c r="A62" s="13" t="s">
        <v>39</v>
      </c>
      <c r="B62" s="13" t="s">
        <v>29</v>
      </c>
      <c r="C62" s="14" t="n">
        <f aca="false">SUMIFS(Data!L2:L501,Data!I2:I501,A62)</f>
        <v>2205539.15</v>
      </c>
      <c r="D62" s="14" t="n">
        <f aca="false">SUMIFS(Data!M2:M501,Data!I2:I501,A62)</f>
        <v>125606.58</v>
      </c>
      <c r="E62" s="15" t="n">
        <f aca="false">D62/C62</f>
        <v>0.056950510264123</v>
      </c>
    </row>
  </sheetData>
  <mergeCells count="4">
    <mergeCell ref="A1:D1"/>
    <mergeCell ref="A9:D9"/>
    <mergeCell ref="A18:D18"/>
    <mergeCell ref="A47:E47"/>
  </mergeCells>
  <conditionalFormatting sqref="D49:D6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9:E6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2026-06-14T02:25:53Z</dcterms:created>
  <dc:creator>openpyxl</dc:creator>
  <dc:description/>
  <dc:language>en-US</dc:language>
  <cp:lastModifiedBy/>
  <dcterms:modified xsi:type="dcterms:W3CDTF">2026-06-14T02:25:57Z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